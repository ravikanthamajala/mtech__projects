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ajbo\Downloads\TimeSeries\Moving_Average\"/>
    </mc:Choice>
  </mc:AlternateContent>
  <xr:revisionPtr revIDLastSave="0" documentId="13_ncr:1_{4889B0E1-C459-4DA9-A963-19ADEA1FBD40}" xr6:coauthVersionLast="47" xr6:coauthVersionMax="47" xr10:uidLastSave="{00000000-0000-0000-0000-000000000000}"/>
  <bookViews>
    <workbookView xWindow="-98" yWindow="-98" windowWidth="21795" windowHeight="12975" tabRatio="561" activeTab="6" xr2:uid="{00000000-000D-0000-FFFF-FFFF00000000}"/>
  </bookViews>
  <sheets>
    <sheet name="SMA" sheetId="1" r:id="rId1"/>
    <sheet name="SMA_Window" sheetId="6" r:id="rId2"/>
    <sheet name="WMA" sheetId="2" r:id="rId3"/>
    <sheet name="Limitations_SMA" sheetId="3" r:id="rId4"/>
    <sheet name="SES" sheetId="4" r:id="rId5"/>
    <sheet name="Holts" sheetId="5" r:id="rId6"/>
    <sheet name="Metrics" sheetId="9" r:id="rId7"/>
  </sheets>
  <definedNames>
    <definedName name="_xlnm._FilterDatabase" localSheetId="2" hidden="1">WMA!$B$1:$B$6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9" l="1"/>
  <c r="F3" i="9"/>
  <c r="F4" i="9"/>
  <c r="F5" i="9"/>
  <c r="F6" i="9"/>
  <c r="F2" i="9"/>
  <c r="E10" i="9"/>
  <c r="E8" i="9"/>
  <c r="E3" i="9"/>
  <c r="E4" i="9"/>
  <c r="E5" i="9"/>
  <c r="E6" i="9"/>
  <c r="E2" i="9"/>
  <c r="D8" i="9"/>
  <c r="D3" i="9"/>
  <c r="D4" i="9"/>
  <c r="D5" i="9"/>
  <c r="D6" i="9"/>
  <c r="D2" i="9"/>
  <c r="D6" i="2"/>
  <c r="D7" i="2"/>
  <c r="D5" i="2"/>
  <c r="C7" i="2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21" i="6"/>
  <c r="C22" i="4"/>
  <c r="C6" i="4"/>
  <c r="C7" i="4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E16" i="5"/>
  <c r="E8" i="5"/>
  <c r="E9" i="5"/>
  <c r="E10" i="5"/>
  <c r="E11" i="5"/>
  <c r="E12" i="5"/>
  <c r="E13" i="5"/>
  <c r="E14" i="5"/>
  <c r="E15" i="5"/>
  <c r="D7" i="5"/>
  <c r="C8" i="5" s="1"/>
  <c r="C7" i="5"/>
  <c r="E7" i="5"/>
  <c r="D6" i="5"/>
  <c r="C6" i="5"/>
  <c r="E6" i="5"/>
  <c r="D5" i="5"/>
  <c r="C5" i="5"/>
  <c r="D4" i="5"/>
  <c r="C4" i="5"/>
  <c r="E5" i="5" s="1"/>
  <c r="C5" i="4"/>
  <c r="C4" i="4"/>
  <c r="C3" i="4"/>
  <c r="C6" i="2"/>
  <c r="C5" i="2"/>
  <c r="D8" i="5" l="1"/>
  <c r="C9" i="5" s="1"/>
  <c r="D9" i="5" l="1"/>
  <c r="C10" i="5" s="1"/>
  <c r="D10" i="5" l="1"/>
  <c r="C11" i="5" s="1"/>
  <c r="D11" i="5" l="1"/>
  <c r="C12" i="5" s="1"/>
  <c r="D12" i="5" l="1"/>
  <c r="C13" i="5" s="1"/>
  <c r="D13" i="5" l="1"/>
  <c r="C14" i="5" s="1"/>
  <c r="D14" i="5" l="1"/>
  <c r="C15" i="5" s="1"/>
  <c r="D15" i="5" s="1"/>
</calcChain>
</file>

<file path=xl/sharedStrings.xml><?xml version="1.0" encoding="utf-8"?>
<sst xmlns="http://schemas.openxmlformats.org/spreadsheetml/2006/main" count="40" uniqueCount="36">
  <si>
    <t>Time (t)</t>
  </si>
  <si>
    <t>Actual Value (Yt​)</t>
  </si>
  <si>
    <t>Value</t>
  </si>
  <si>
    <t>Time</t>
  </si>
  <si>
    <t>w2=0.3</t>
  </si>
  <si>
    <t>w3=0.2</t>
  </si>
  <si>
    <t>Final_Value</t>
  </si>
  <si>
    <t>w1=0.5</t>
  </si>
  <si>
    <t>Day</t>
  </si>
  <si>
    <t>Actual Temperature (°C)</t>
  </si>
  <si>
    <t>5-Day SMA Forecast (°C)</t>
  </si>
  <si>
    <t xml:space="preserve"> ⚠️ ← SMA lagging behind sudden drop</t>
  </si>
  <si>
    <t>⚠️</t>
  </si>
  <si>
    <t xml:space="preserve"> ⚠️</t>
  </si>
  <si>
    <t>Actual Value (Yₜ)</t>
  </si>
  <si>
    <t>Ft</t>
  </si>
  <si>
    <t>Lt</t>
  </si>
  <si>
    <t>alpha=0.3</t>
  </si>
  <si>
    <t>Beta =0.1</t>
  </si>
  <si>
    <t>bt</t>
  </si>
  <si>
    <t>Week</t>
  </si>
  <si>
    <t>Demand</t>
  </si>
  <si>
    <t>alpha</t>
  </si>
  <si>
    <t>Beta</t>
  </si>
  <si>
    <t>Forecast(Ft+m)</t>
  </si>
  <si>
    <t>Date</t>
  </si>
  <si>
    <t>Original Data</t>
  </si>
  <si>
    <t>SMA (Window=5)</t>
  </si>
  <si>
    <t>SMA(Window=20)</t>
  </si>
  <si>
    <t>SMA</t>
  </si>
  <si>
    <t>Actual Temperature (∘C)</t>
  </si>
  <si>
    <t>Predicted Temperature (∘C)</t>
  </si>
  <si>
    <t>MAE</t>
  </si>
  <si>
    <t>RMSE</t>
  </si>
  <si>
    <t>MSE</t>
  </si>
  <si>
    <t>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</si>
</sst>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2" borderId="0" xfId="0" applyFont="1" applyFill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4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right" wrapText="1"/>
    </xf>
    <xf numFmtId="0" fontId="3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SMA_Window!$B$1</c:f>
              <c:strCache>
                <c:ptCount val="1"/>
                <c:pt idx="0">
                  <c:v>Original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SMA_Window!$B$2:$B$51</c:f>
              <c:numCache>
                <c:formatCode>General</c:formatCode>
                <c:ptCount val="50"/>
                <c:pt idx="0">
                  <c:v>1.6</c:v>
                </c:pt>
                <c:pt idx="1">
                  <c:v>8.6</c:v>
                </c:pt>
                <c:pt idx="2">
                  <c:v>15.8</c:v>
                </c:pt>
                <c:pt idx="3">
                  <c:v>9.6</c:v>
                </c:pt>
                <c:pt idx="4">
                  <c:v>6.5</c:v>
                </c:pt>
                <c:pt idx="5">
                  <c:v>0.4</c:v>
                </c:pt>
                <c:pt idx="6">
                  <c:v>-3.7</c:v>
                </c:pt>
                <c:pt idx="7">
                  <c:v>-5.4</c:v>
                </c:pt>
                <c:pt idx="8">
                  <c:v>-4.3</c:v>
                </c:pt>
                <c:pt idx="9">
                  <c:v>-6.3</c:v>
                </c:pt>
                <c:pt idx="10">
                  <c:v>6.5</c:v>
                </c:pt>
                <c:pt idx="11">
                  <c:v>11.6</c:v>
                </c:pt>
                <c:pt idx="12">
                  <c:v>14.6</c:v>
                </c:pt>
                <c:pt idx="13">
                  <c:v>14.2</c:v>
                </c:pt>
                <c:pt idx="14">
                  <c:v>10</c:v>
                </c:pt>
                <c:pt idx="15">
                  <c:v>3.8</c:v>
                </c:pt>
                <c:pt idx="16">
                  <c:v>-0.1</c:v>
                </c:pt>
                <c:pt idx="17">
                  <c:v>-1.2</c:v>
                </c:pt>
                <c:pt idx="18">
                  <c:v>6.9</c:v>
                </c:pt>
                <c:pt idx="19">
                  <c:v>13.9</c:v>
                </c:pt>
                <c:pt idx="20">
                  <c:v>17</c:v>
                </c:pt>
                <c:pt idx="21">
                  <c:v>20.7</c:v>
                </c:pt>
                <c:pt idx="22">
                  <c:v>24.7</c:v>
                </c:pt>
                <c:pt idx="23">
                  <c:v>20.9</c:v>
                </c:pt>
                <c:pt idx="24">
                  <c:v>13.3</c:v>
                </c:pt>
                <c:pt idx="25">
                  <c:v>16.600000000000001</c:v>
                </c:pt>
                <c:pt idx="26">
                  <c:v>12.8</c:v>
                </c:pt>
                <c:pt idx="27">
                  <c:v>10.1</c:v>
                </c:pt>
                <c:pt idx="28">
                  <c:v>9.4</c:v>
                </c:pt>
                <c:pt idx="29">
                  <c:v>10.1</c:v>
                </c:pt>
                <c:pt idx="30">
                  <c:v>11.5</c:v>
                </c:pt>
                <c:pt idx="31">
                  <c:v>15.5</c:v>
                </c:pt>
                <c:pt idx="32">
                  <c:v>19.899999999999999</c:v>
                </c:pt>
                <c:pt idx="33">
                  <c:v>22</c:v>
                </c:pt>
                <c:pt idx="34">
                  <c:v>18.8</c:v>
                </c:pt>
                <c:pt idx="35">
                  <c:v>13.8</c:v>
                </c:pt>
                <c:pt idx="36">
                  <c:v>9.6</c:v>
                </c:pt>
                <c:pt idx="37">
                  <c:v>8.9</c:v>
                </c:pt>
                <c:pt idx="38">
                  <c:v>11.7</c:v>
                </c:pt>
                <c:pt idx="39">
                  <c:v>18.899999999999999</c:v>
                </c:pt>
                <c:pt idx="40">
                  <c:v>23.3</c:v>
                </c:pt>
                <c:pt idx="41">
                  <c:v>26.4</c:v>
                </c:pt>
                <c:pt idx="42">
                  <c:v>25.2</c:v>
                </c:pt>
                <c:pt idx="43">
                  <c:v>21</c:v>
                </c:pt>
                <c:pt idx="44">
                  <c:v>14.4</c:v>
                </c:pt>
                <c:pt idx="45">
                  <c:v>9</c:v>
                </c:pt>
                <c:pt idx="46">
                  <c:v>13.3</c:v>
                </c:pt>
                <c:pt idx="47">
                  <c:v>24.8</c:v>
                </c:pt>
                <c:pt idx="48">
                  <c:v>30.6</c:v>
                </c:pt>
                <c:pt idx="49">
                  <c:v>26.9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A2-442D-8202-055F0B9F6A58}"/>
            </c:ext>
          </c:extLst>
        </c:ser>
        <c:ser>
          <c:idx val="1"/>
          <c:order val="1"/>
          <c:tx>
            <c:strRef>
              <c:f>SMA_Window!$C$1</c:f>
              <c:strCache>
                <c:ptCount val="1"/>
                <c:pt idx="0">
                  <c:v>SMA (Window=5)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SMA_Window!$C$2:$C$51</c:f>
              <c:numCache>
                <c:formatCode>General</c:formatCode>
                <c:ptCount val="50"/>
                <c:pt idx="4">
                  <c:v>8.42</c:v>
                </c:pt>
                <c:pt idx="5">
                  <c:v>8.18</c:v>
                </c:pt>
                <c:pt idx="6">
                  <c:v>5.72</c:v>
                </c:pt>
                <c:pt idx="7">
                  <c:v>1.48</c:v>
                </c:pt>
                <c:pt idx="8">
                  <c:v>-1.3</c:v>
                </c:pt>
                <c:pt idx="9">
                  <c:v>-3.86</c:v>
                </c:pt>
                <c:pt idx="10">
                  <c:v>-2.64</c:v>
                </c:pt>
                <c:pt idx="11">
                  <c:v>0.42</c:v>
                </c:pt>
                <c:pt idx="12">
                  <c:v>4.42</c:v>
                </c:pt>
                <c:pt idx="13">
                  <c:v>8.1199999999999992</c:v>
                </c:pt>
                <c:pt idx="14">
                  <c:v>11.38</c:v>
                </c:pt>
                <c:pt idx="15">
                  <c:v>10.84</c:v>
                </c:pt>
                <c:pt idx="16">
                  <c:v>8.5</c:v>
                </c:pt>
                <c:pt idx="17">
                  <c:v>5.34</c:v>
                </c:pt>
                <c:pt idx="18">
                  <c:v>3.88</c:v>
                </c:pt>
                <c:pt idx="19">
                  <c:v>4.66</c:v>
                </c:pt>
                <c:pt idx="20">
                  <c:v>7.3</c:v>
                </c:pt>
                <c:pt idx="21">
                  <c:v>11.46</c:v>
                </c:pt>
                <c:pt idx="22">
                  <c:v>16.64</c:v>
                </c:pt>
                <c:pt idx="23">
                  <c:v>19.440000000000001</c:v>
                </c:pt>
                <c:pt idx="24">
                  <c:v>19.32</c:v>
                </c:pt>
                <c:pt idx="25">
                  <c:v>19.239999999999998</c:v>
                </c:pt>
                <c:pt idx="26">
                  <c:v>17.66</c:v>
                </c:pt>
                <c:pt idx="27">
                  <c:v>14.74</c:v>
                </c:pt>
                <c:pt idx="28">
                  <c:v>12.44</c:v>
                </c:pt>
                <c:pt idx="29">
                  <c:v>11.8</c:v>
                </c:pt>
                <c:pt idx="30">
                  <c:v>10.78</c:v>
                </c:pt>
                <c:pt idx="31">
                  <c:v>11.32</c:v>
                </c:pt>
                <c:pt idx="32">
                  <c:v>13.28</c:v>
                </c:pt>
                <c:pt idx="33">
                  <c:v>15.8</c:v>
                </c:pt>
                <c:pt idx="34">
                  <c:v>17.54</c:v>
                </c:pt>
                <c:pt idx="35">
                  <c:v>18</c:v>
                </c:pt>
                <c:pt idx="36">
                  <c:v>16.82</c:v>
                </c:pt>
                <c:pt idx="37">
                  <c:v>14.62</c:v>
                </c:pt>
                <c:pt idx="38">
                  <c:v>12.56</c:v>
                </c:pt>
                <c:pt idx="39">
                  <c:v>12.58</c:v>
                </c:pt>
                <c:pt idx="40">
                  <c:v>14.48</c:v>
                </c:pt>
                <c:pt idx="41">
                  <c:v>17.84</c:v>
                </c:pt>
                <c:pt idx="42">
                  <c:v>21.1</c:v>
                </c:pt>
                <c:pt idx="43">
                  <c:v>22.96</c:v>
                </c:pt>
                <c:pt idx="44">
                  <c:v>22.06</c:v>
                </c:pt>
                <c:pt idx="45">
                  <c:v>19.2</c:v>
                </c:pt>
                <c:pt idx="46">
                  <c:v>16.579999999999998</c:v>
                </c:pt>
                <c:pt idx="47">
                  <c:v>16.5</c:v>
                </c:pt>
                <c:pt idx="48">
                  <c:v>18.420000000000002</c:v>
                </c:pt>
                <c:pt idx="49">
                  <c:v>20.92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A2-442D-8202-055F0B9F6A58}"/>
            </c:ext>
          </c:extLst>
        </c:ser>
        <c:ser>
          <c:idx val="2"/>
          <c:order val="2"/>
          <c:tx>
            <c:strRef>
              <c:f>SMA_Window!$D$1</c:f>
              <c:strCache>
                <c:ptCount val="1"/>
                <c:pt idx="0">
                  <c:v>SMA(Window=20)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SMA_Window!$D$2:$D$51</c:f>
              <c:numCache>
                <c:formatCode>General</c:formatCode>
                <c:ptCount val="50"/>
                <c:pt idx="19">
                  <c:v>4.6894736842105269</c:v>
                </c:pt>
                <c:pt idx="20">
                  <c:v>5.3368421052631581</c:v>
                </c:pt>
                <c:pt idx="21">
                  <c:v>5.7789473684210533</c:v>
                </c:pt>
                <c:pt idx="22">
                  <c:v>6.0368421052631582</c:v>
                </c:pt>
                <c:pt idx="23">
                  <c:v>6.8315789473684205</c:v>
                </c:pt>
                <c:pt idx="24">
                  <c:v>7.5894736842105255</c:v>
                </c:pt>
                <c:pt idx="25">
                  <c:v>8.2684210526315791</c:v>
                </c:pt>
                <c:pt idx="26">
                  <c:v>9.3368421052631589</c:v>
                </c:pt>
                <c:pt idx="27">
                  <c:v>10.294736842105264</c:v>
                </c:pt>
                <c:pt idx="28">
                  <c:v>11.052631578947368</c:v>
                </c:pt>
                <c:pt idx="29">
                  <c:v>11.878947368421054</c:v>
                </c:pt>
                <c:pt idx="30">
                  <c:v>12.06842105263158</c:v>
                </c:pt>
                <c:pt idx="31">
                  <c:v>12.063157894736843</c:v>
                </c:pt>
                <c:pt idx="32">
                  <c:v>12.110526315789475</c:v>
                </c:pt>
                <c:pt idx="33">
                  <c:v>12.410526315789474</c:v>
                </c:pt>
                <c:pt idx="34">
                  <c:v>13.042105263157895</c:v>
                </c:pt>
                <c:pt idx="35">
                  <c:v>13.831578947368422</c:v>
                </c:pt>
                <c:pt idx="36">
                  <c:v>14.563157894736845</c:v>
                </c:pt>
                <c:pt idx="37">
                  <c:v>15.131578947368425</c:v>
                </c:pt>
                <c:pt idx="38">
                  <c:v>15.236842105263158</c:v>
                </c:pt>
                <c:pt idx="39">
                  <c:v>15.121052631578948</c:v>
                </c:pt>
                <c:pt idx="40">
                  <c:v>15.221052631578944</c:v>
                </c:pt>
                <c:pt idx="41">
                  <c:v>15.357894736842105</c:v>
                </c:pt>
                <c:pt idx="42">
                  <c:v>15.447368421052632</c:v>
                </c:pt>
                <c:pt idx="43">
                  <c:v>15.673684210526316</c:v>
                </c:pt>
                <c:pt idx="44">
                  <c:v>16.078947368421051</c:v>
                </c:pt>
                <c:pt idx="45">
                  <c:v>15.963157894736844</c:v>
                </c:pt>
                <c:pt idx="46">
                  <c:v>15.763157894736842</c:v>
                </c:pt>
                <c:pt idx="47">
                  <c:v>15.93157894736842</c:v>
                </c:pt>
                <c:pt idx="48">
                  <c:v>16.742105263157896</c:v>
                </c:pt>
                <c:pt idx="49">
                  <c:v>17.821052631578947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A2-442D-8202-055F0B9F6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603775"/>
        <c:axId val="479590815"/>
      </c:lineChart>
      <c:catAx>
        <c:axId val="479603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90815"/>
        <c:crosses val="autoZero"/>
        <c:auto val="1"/>
        <c:lblAlgn val="ctr"/>
        <c:lblOffset val="100"/>
        <c:noMultiLvlLbl val="0"/>
      </c:catAx>
      <c:valAx>
        <c:axId val="47959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60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Limitations_SMA!$B$1</c:f>
              <c:strCache>
                <c:ptCount val="1"/>
                <c:pt idx="0">
                  <c:v>Actual Temperature (°C)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Limitations_SMA!$B$2:$B$16</c:f>
              <c:numCache>
                <c:formatCode>General</c:formatCode>
                <c:ptCount val="15"/>
                <c:pt idx="0">
                  <c:v>30</c:v>
                </c:pt>
                <c:pt idx="1">
                  <c:v>31</c:v>
                </c:pt>
                <c:pt idx="2">
                  <c:v>29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30</c:v>
                </c:pt>
                <c:pt idx="9">
                  <c:v>29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CE-41FB-9D12-828E26CD28E1}"/>
            </c:ext>
          </c:extLst>
        </c:ser>
        <c:ser>
          <c:idx val="1"/>
          <c:order val="1"/>
          <c:tx>
            <c:strRef>
              <c:f>Limitations_SMA!$C$1</c:f>
              <c:strCache>
                <c:ptCount val="1"/>
                <c:pt idx="0">
                  <c:v>5-Day SMA Forecast (°C)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Limitations_SMA!$C$2:$C$16</c:f>
              <c:numCache>
                <c:formatCode>General</c:formatCode>
                <c:ptCount val="15"/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30.6</c:v>
                </c:pt>
                <c:pt idx="8">
                  <c:v>30.6</c:v>
                </c:pt>
                <c:pt idx="9">
                  <c:v>30.4</c:v>
                </c:pt>
                <c:pt idx="10">
                  <c:v>28.4</c:v>
                </c:pt>
                <c:pt idx="11">
                  <c:v>26.4</c:v>
                </c:pt>
                <c:pt idx="12">
                  <c:v>24.4</c:v>
                </c:pt>
                <c:pt idx="13">
                  <c:v>23</c:v>
                </c:pt>
                <c:pt idx="1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CE-41FB-9D12-828E26CD2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9859840"/>
        <c:axId val="1929865600"/>
      </c:lineChart>
      <c:catAx>
        <c:axId val="19298598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865600"/>
        <c:crosses val="autoZero"/>
        <c:auto val="1"/>
        <c:lblAlgn val="ctr"/>
        <c:lblOffset val="100"/>
        <c:noMultiLvlLbl val="0"/>
      </c:catAx>
      <c:valAx>
        <c:axId val="19298656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85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Holts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Holts!$B$3</c:f>
              <c:strCache>
                <c:ptCount val="1"/>
                <c:pt idx="0">
                  <c:v>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Holts!$B$4:$B$16</c:f>
              <c:numCache>
                <c:formatCode>General</c:formatCode>
                <c:ptCount val="13"/>
                <c:pt idx="0">
                  <c:v>650</c:v>
                </c:pt>
                <c:pt idx="1">
                  <c:v>678</c:v>
                </c:pt>
                <c:pt idx="2">
                  <c:v>720</c:v>
                </c:pt>
                <c:pt idx="3">
                  <c:v>785</c:v>
                </c:pt>
                <c:pt idx="4">
                  <c:v>859</c:v>
                </c:pt>
                <c:pt idx="5">
                  <c:v>920</c:v>
                </c:pt>
                <c:pt idx="6">
                  <c:v>850</c:v>
                </c:pt>
                <c:pt idx="7">
                  <c:v>758</c:v>
                </c:pt>
                <c:pt idx="8">
                  <c:v>892</c:v>
                </c:pt>
                <c:pt idx="9">
                  <c:v>920</c:v>
                </c:pt>
                <c:pt idx="10">
                  <c:v>789</c:v>
                </c:pt>
                <c:pt idx="11">
                  <c:v>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7E-4686-A063-8D81AB396554}"/>
            </c:ext>
          </c:extLst>
        </c:ser>
        <c:ser>
          <c:idx val="1"/>
          <c:order val="1"/>
          <c:tx>
            <c:strRef>
              <c:f>Holts!$E$3</c:f>
              <c:strCache>
                <c:ptCount val="1"/>
                <c:pt idx="0">
                  <c:v>Forecast(Ft+m)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Holts!$E$4:$E$16</c:f>
              <c:numCache>
                <c:formatCode>General</c:formatCode>
                <c:ptCount val="13"/>
                <c:pt idx="1">
                  <c:v>650</c:v>
                </c:pt>
                <c:pt idx="2">
                  <c:v>706</c:v>
                </c:pt>
                <c:pt idx="3">
                  <c:v>740.15999999999985</c:v>
                </c:pt>
                <c:pt idx="4">
                  <c:v>788.44959999999992</c:v>
                </c:pt>
                <c:pt idx="5">
                  <c:v>849.84537599999999</c:v>
                </c:pt>
                <c:pt idx="6">
                  <c:v>913.88902655999993</c:v>
                </c:pt>
                <c:pt idx="7">
                  <c:v>921.75965583359994</c:v>
                </c:pt>
                <c:pt idx="8">
                  <c:v>883.13164716441577</c:v>
                </c:pt>
                <c:pt idx="9">
                  <c:v>913.9095760763289</c:v>
                </c:pt>
                <c:pt idx="10">
                  <c:v>943.81995038042362</c:v>
                </c:pt>
                <c:pt idx="11">
                  <c:v>903.17337694766343</c:v>
                </c:pt>
                <c:pt idx="12">
                  <c:v>898.4184978101008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7E-4686-A063-8D81AB396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9863200"/>
        <c:axId val="1929856480"/>
      </c:lineChart>
      <c:catAx>
        <c:axId val="1929863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856480"/>
        <c:crosses val="autoZero"/>
        <c:auto val="1"/>
        <c:lblAlgn val="ctr"/>
        <c:lblOffset val="100"/>
        <c:noMultiLvlLbl val="0"/>
      </c:catAx>
      <c:valAx>
        <c:axId val="1929856480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86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400049</xdr:colOff>
      <xdr:row>0</xdr:row>
      <xdr:rowOff>114300</xdr:rowOff>
    </xdr:from>
    <xdr:to>
      <xdr:col>17</xdr:col>
      <xdr:colOff>633412</xdr:colOff>
      <xdr:row>27</xdr:row>
      <xdr:rowOff>4762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8B03948-461B-C940-06DA-A1002E74E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64293</xdr:colOff>
      <xdr:row>4</xdr:row>
      <xdr:rowOff>23812</xdr:rowOff>
    </xdr:from>
    <xdr:to>
      <xdr:col>14</xdr:col>
      <xdr:colOff>102393</xdr:colOff>
      <xdr:row>21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23319-9E5A-082C-8DFF-FA5EBFDC8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0</xdr:row>
      <xdr:rowOff>66675</xdr:rowOff>
    </xdr:from>
    <xdr:to>
      <xdr:col>13</xdr:col>
      <xdr:colOff>57152</xdr:colOff>
      <xdr:row>4</xdr:row>
      <xdr:rowOff>109539</xdr:rowOff>
    </xdr:to>
    <xdr:pic>
      <xdr:nvPicPr>
        <xdr:cNvPr id="2" name="Content Placeholder 3">
          <a:extLst>
            <a:ext uri="{FF2B5EF4-FFF2-40B4-BE49-F238E27FC236}">
              <a16:creationId xmlns:a16="http://schemas.microsoft.com/office/drawing/2014/main" id="{257C820A-FD2F-C3B7-6816-26CF771F07B9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5175" y="66675"/>
          <a:ext cx="5172077" cy="8620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550067</xdr:colOff>
      <xdr:row>2</xdr:row>
      <xdr:rowOff>214312</xdr:rowOff>
    </xdr:from>
    <xdr:to>
      <xdr:col>13</xdr:col>
      <xdr:colOff>588167</xdr:colOff>
      <xdr:row>19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1359C3-64E2-CBB8-3200-1EE586EBD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1"/>
  <sheetViews>
    <sheetView workbookViewId="0">
      <selection activeCell="D14" sqref="D14"/>
    </sheetView>
  </sheetViews>
  <sheetFormatPr defaultColWidth="12.59765625" defaultRowHeight="15.75" customHeight="1" x14ac:dyDescent="0.35"/>
  <cols>
    <col min="1" max="1" width="10.46484375" customWidth="1"/>
    <col min="2" max="2" width="17.73046875" customWidth="1"/>
  </cols>
  <sheetData>
    <row r="1" spans="1:2" ht="15.75" customHeight="1" x14ac:dyDescent="0.4">
      <c r="A1" s="1" t="s">
        <v>0</v>
      </c>
      <c r="B1" s="1" t="s">
        <v>1</v>
      </c>
    </row>
    <row r="2" spans="1:2" ht="12.75" x14ac:dyDescent="0.35">
      <c r="A2" s="2">
        <v>1</v>
      </c>
      <c r="B2" s="2">
        <v>10</v>
      </c>
    </row>
    <row r="3" spans="1:2" ht="12.75" x14ac:dyDescent="0.35">
      <c r="A3" s="2">
        <v>2</v>
      </c>
      <c r="B3" s="2">
        <v>12</v>
      </c>
    </row>
    <row r="4" spans="1:2" ht="12.75" x14ac:dyDescent="0.35">
      <c r="A4" s="2">
        <v>3</v>
      </c>
      <c r="B4" s="2">
        <v>11</v>
      </c>
    </row>
    <row r="5" spans="1:2" ht="12.75" x14ac:dyDescent="0.35">
      <c r="A5" s="2">
        <v>4</v>
      </c>
      <c r="B5" s="2">
        <v>15</v>
      </c>
    </row>
    <row r="6" spans="1:2" ht="12.75" x14ac:dyDescent="0.35">
      <c r="A6" s="2">
        <v>5</v>
      </c>
      <c r="B6" s="2">
        <v>14</v>
      </c>
    </row>
    <row r="7" spans="1:2" ht="12.75" x14ac:dyDescent="0.35">
      <c r="A7" s="2">
        <v>6</v>
      </c>
      <c r="B7" s="2">
        <v>16</v>
      </c>
    </row>
    <row r="8" spans="1:2" ht="12.75" x14ac:dyDescent="0.35">
      <c r="A8" s="2">
        <v>7</v>
      </c>
      <c r="B8" s="2">
        <v>18</v>
      </c>
    </row>
    <row r="9" spans="1:2" ht="12.75" x14ac:dyDescent="0.35">
      <c r="A9" s="2">
        <v>8</v>
      </c>
      <c r="B9" s="2">
        <v>17</v>
      </c>
    </row>
    <row r="10" spans="1:2" ht="12.75" x14ac:dyDescent="0.35">
      <c r="A10" s="2">
        <v>9</v>
      </c>
      <c r="B10" s="2">
        <v>20</v>
      </c>
    </row>
    <row r="11" spans="1:2" ht="12.75" x14ac:dyDescent="0.35">
      <c r="A11" s="2">
        <v>10</v>
      </c>
      <c r="B11" s="2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9987C-5A62-4AAE-A7E9-3E81EB59C6BA}">
  <dimension ref="A1:D51"/>
  <sheetViews>
    <sheetView topLeftCell="B1" workbookViewId="0">
      <selection activeCell="B1" sqref="B1:D1048576"/>
    </sheetView>
  </sheetViews>
  <sheetFormatPr defaultRowHeight="12.75" x14ac:dyDescent="0.35"/>
  <cols>
    <col min="1" max="1" width="9.796875" bestFit="1" customWidth="1"/>
    <col min="2" max="2" width="14.73046875" customWidth="1"/>
    <col min="3" max="3" width="17.73046875" customWidth="1"/>
    <col min="4" max="4" width="15.53125" bestFit="1" customWidth="1"/>
  </cols>
  <sheetData>
    <row r="1" spans="1:4" x14ac:dyDescent="0.35">
      <c r="A1" t="s">
        <v>25</v>
      </c>
      <c r="B1" t="s">
        <v>26</v>
      </c>
      <c r="C1" t="s">
        <v>27</v>
      </c>
      <c r="D1" t="s">
        <v>28</v>
      </c>
    </row>
    <row r="2" spans="1:4" x14ac:dyDescent="0.35">
      <c r="A2" s="10">
        <v>43861</v>
      </c>
      <c r="B2">
        <v>1.6</v>
      </c>
    </row>
    <row r="3" spans="1:4" x14ac:dyDescent="0.35">
      <c r="A3" s="10">
        <v>43890</v>
      </c>
      <c r="B3">
        <v>8.6</v>
      </c>
    </row>
    <row r="4" spans="1:4" x14ac:dyDescent="0.35">
      <c r="A4" s="10">
        <v>43921</v>
      </c>
      <c r="B4">
        <v>15.8</v>
      </c>
    </row>
    <row r="5" spans="1:4" x14ac:dyDescent="0.35">
      <c r="A5" s="10">
        <v>43951</v>
      </c>
      <c r="B5">
        <v>9.6</v>
      </c>
    </row>
    <row r="6" spans="1:4" x14ac:dyDescent="0.35">
      <c r="A6" s="10">
        <v>43982</v>
      </c>
      <c r="B6">
        <v>6.5</v>
      </c>
      <c r="C6">
        <v>8.42</v>
      </c>
    </row>
    <row r="7" spans="1:4" x14ac:dyDescent="0.35">
      <c r="A7" s="10">
        <v>44012</v>
      </c>
      <c r="B7">
        <v>0.4</v>
      </c>
      <c r="C7">
        <v>8.18</v>
      </c>
    </row>
    <row r="8" spans="1:4" x14ac:dyDescent="0.35">
      <c r="A8" s="10">
        <v>44043</v>
      </c>
      <c r="B8">
        <v>-3.7</v>
      </c>
      <c r="C8">
        <v>5.72</v>
      </c>
    </row>
    <row r="9" spans="1:4" x14ac:dyDescent="0.35">
      <c r="A9" s="10">
        <v>44074</v>
      </c>
      <c r="B9">
        <v>-5.4</v>
      </c>
      <c r="C9">
        <v>1.48</v>
      </c>
    </row>
    <row r="10" spans="1:4" x14ac:dyDescent="0.35">
      <c r="A10" s="10">
        <v>44104</v>
      </c>
      <c r="B10">
        <v>-4.3</v>
      </c>
      <c r="C10">
        <v>-1.3</v>
      </c>
    </row>
    <row r="11" spans="1:4" x14ac:dyDescent="0.35">
      <c r="A11" s="10">
        <v>44135</v>
      </c>
      <c r="B11">
        <v>-6.3</v>
      </c>
      <c r="C11">
        <v>-3.86</v>
      </c>
    </row>
    <row r="12" spans="1:4" x14ac:dyDescent="0.35">
      <c r="A12" s="10">
        <v>44165</v>
      </c>
      <c r="B12">
        <v>6.5</v>
      </c>
      <c r="C12">
        <v>-2.64</v>
      </c>
    </row>
    <row r="13" spans="1:4" x14ac:dyDescent="0.35">
      <c r="A13" s="10">
        <v>44196</v>
      </c>
      <c r="B13">
        <v>11.6</v>
      </c>
      <c r="C13">
        <v>0.42</v>
      </c>
    </row>
    <row r="14" spans="1:4" x14ac:dyDescent="0.35">
      <c r="A14" s="10">
        <v>44227</v>
      </c>
      <c r="B14">
        <v>14.6</v>
      </c>
      <c r="C14">
        <v>4.42</v>
      </c>
    </row>
    <row r="15" spans="1:4" x14ac:dyDescent="0.35">
      <c r="A15" s="10">
        <v>44255</v>
      </c>
      <c r="B15">
        <v>14.2</v>
      </c>
      <c r="C15">
        <v>8.1199999999999992</v>
      </c>
    </row>
    <row r="16" spans="1:4" x14ac:dyDescent="0.35">
      <c r="A16" s="10">
        <v>44286</v>
      </c>
      <c r="B16">
        <v>10</v>
      </c>
      <c r="C16">
        <v>11.38</v>
      </c>
    </row>
    <row r="17" spans="1:4" x14ac:dyDescent="0.35">
      <c r="A17" s="10">
        <v>44316</v>
      </c>
      <c r="B17">
        <v>3.8</v>
      </c>
      <c r="C17">
        <v>10.84</v>
      </c>
    </row>
    <row r="18" spans="1:4" x14ac:dyDescent="0.35">
      <c r="A18" s="10">
        <v>44347</v>
      </c>
      <c r="B18">
        <v>-0.1</v>
      </c>
      <c r="C18">
        <v>8.5</v>
      </c>
    </row>
    <row r="19" spans="1:4" x14ac:dyDescent="0.35">
      <c r="A19" s="10">
        <v>44377</v>
      </c>
      <c r="B19">
        <v>-1.2</v>
      </c>
      <c r="C19">
        <v>5.34</v>
      </c>
    </row>
    <row r="20" spans="1:4" x14ac:dyDescent="0.35">
      <c r="A20" s="10">
        <v>44408</v>
      </c>
      <c r="B20">
        <v>6.9</v>
      </c>
      <c r="C20">
        <v>3.88</v>
      </c>
    </row>
    <row r="21" spans="1:4" x14ac:dyDescent="0.35">
      <c r="A21" s="10">
        <v>44439</v>
      </c>
      <c r="B21">
        <v>13.9</v>
      </c>
      <c r="C21">
        <v>4.66</v>
      </c>
      <c r="D21">
        <f>AVERAGE(B2:B20)</f>
        <v>4.6894736842105269</v>
      </c>
    </row>
    <row r="22" spans="1:4" x14ac:dyDescent="0.35">
      <c r="A22" s="10">
        <v>44469</v>
      </c>
      <c r="B22">
        <v>17</v>
      </c>
      <c r="C22">
        <v>7.3</v>
      </c>
      <c r="D22">
        <f t="shared" ref="D22:D51" si="0">AVERAGE(B3:B21)</f>
        <v>5.3368421052631581</v>
      </c>
    </row>
    <row r="23" spans="1:4" x14ac:dyDescent="0.35">
      <c r="A23" s="10">
        <v>44500</v>
      </c>
      <c r="B23">
        <v>20.7</v>
      </c>
      <c r="C23">
        <v>11.46</v>
      </c>
      <c r="D23">
        <f t="shared" si="0"/>
        <v>5.7789473684210533</v>
      </c>
    </row>
    <row r="24" spans="1:4" x14ac:dyDescent="0.35">
      <c r="A24" s="10">
        <v>44530</v>
      </c>
      <c r="B24">
        <v>24.7</v>
      </c>
      <c r="C24">
        <v>16.64</v>
      </c>
      <c r="D24">
        <f t="shared" si="0"/>
        <v>6.0368421052631582</v>
      </c>
    </row>
    <row r="25" spans="1:4" x14ac:dyDescent="0.35">
      <c r="A25" s="10">
        <v>44561</v>
      </c>
      <c r="B25">
        <v>20.9</v>
      </c>
      <c r="C25">
        <v>19.440000000000001</v>
      </c>
      <c r="D25">
        <f t="shared" si="0"/>
        <v>6.8315789473684205</v>
      </c>
    </row>
    <row r="26" spans="1:4" x14ac:dyDescent="0.35">
      <c r="A26" s="10">
        <v>44592</v>
      </c>
      <c r="B26">
        <v>13.3</v>
      </c>
      <c r="C26">
        <v>19.32</v>
      </c>
      <c r="D26">
        <f t="shared" si="0"/>
        <v>7.5894736842105255</v>
      </c>
    </row>
    <row r="27" spans="1:4" x14ac:dyDescent="0.35">
      <c r="A27" s="10">
        <v>44620</v>
      </c>
      <c r="B27">
        <v>16.600000000000001</v>
      </c>
      <c r="C27">
        <v>19.239999999999998</v>
      </c>
      <c r="D27">
        <f t="shared" si="0"/>
        <v>8.2684210526315791</v>
      </c>
    </row>
    <row r="28" spans="1:4" x14ac:dyDescent="0.35">
      <c r="A28" s="10">
        <v>44651</v>
      </c>
      <c r="B28">
        <v>12.8</v>
      </c>
      <c r="C28">
        <v>17.66</v>
      </c>
      <c r="D28">
        <f t="shared" si="0"/>
        <v>9.3368421052631589</v>
      </c>
    </row>
    <row r="29" spans="1:4" x14ac:dyDescent="0.35">
      <c r="A29" s="10">
        <v>44681</v>
      </c>
      <c r="B29">
        <v>10.1</v>
      </c>
      <c r="C29">
        <v>14.74</v>
      </c>
      <c r="D29">
        <f t="shared" si="0"/>
        <v>10.294736842105264</v>
      </c>
    </row>
    <row r="30" spans="1:4" x14ac:dyDescent="0.35">
      <c r="A30" s="10">
        <v>44712</v>
      </c>
      <c r="B30">
        <v>9.4</v>
      </c>
      <c r="C30">
        <v>12.44</v>
      </c>
      <c r="D30">
        <f t="shared" si="0"/>
        <v>11.052631578947368</v>
      </c>
    </row>
    <row r="31" spans="1:4" x14ac:dyDescent="0.35">
      <c r="A31" s="10">
        <v>44742</v>
      </c>
      <c r="B31">
        <v>10.1</v>
      </c>
      <c r="C31">
        <v>11.8</v>
      </c>
      <c r="D31">
        <f t="shared" si="0"/>
        <v>11.878947368421054</v>
      </c>
    </row>
    <row r="32" spans="1:4" x14ac:dyDescent="0.35">
      <c r="A32" s="10">
        <v>44773</v>
      </c>
      <c r="B32">
        <v>11.5</v>
      </c>
      <c r="C32">
        <v>10.78</v>
      </c>
      <c r="D32">
        <f t="shared" si="0"/>
        <v>12.06842105263158</v>
      </c>
    </row>
    <row r="33" spans="1:4" x14ac:dyDescent="0.35">
      <c r="A33" s="10">
        <v>44804</v>
      </c>
      <c r="B33">
        <v>15.5</v>
      </c>
      <c r="C33">
        <v>11.32</v>
      </c>
      <c r="D33">
        <f t="shared" si="0"/>
        <v>12.063157894736843</v>
      </c>
    </row>
    <row r="34" spans="1:4" x14ac:dyDescent="0.35">
      <c r="A34" s="10">
        <v>44834</v>
      </c>
      <c r="B34">
        <v>19.899999999999999</v>
      </c>
      <c r="C34">
        <v>13.28</v>
      </c>
      <c r="D34">
        <f t="shared" si="0"/>
        <v>12.110526315789475</v>
      </c>
    </row>
    <row r="35" spans="1:4" x14ac:dyDescent="0.35">
      <c r="A35" s="10">
        <v>44865</v>
      </c>
      <c r="B35">
        <v>22</v>
      </c>
      <c r="C35">
        <v>15.8</v>
      </c>
      <c r="D35">
        <f t="shared" si="0"/>
        <v>12.410526315789474</v>
      </c>
    </row>
    <row r="36" spans="1:4" x14ac:dyDescent="0.35">
      <c r="A36" s="10">
        <v>44895</v>
      </c>
      <c r="B36">
        <v>18.8</v>
      </c>
      <c r="C36">
        <v>17.54</v>
      </c>
      <c r="D36">
        <f t="shared" si="0"/>
        <v>13.042105263157895</v>
      </c>
    </row>
    <row r="37" spans="1:4" x14ac:dyDescent="0.35">
      <c r="A37" s="10">
        <v>44926</v>
      </c>
      <c r="B37">
        <v>13.8</v>
      </c>
      <c r="C37">
        <v>18</v>
      </c>
      <c r="D37">
        <f t="shared" si="0"/>
        <v>13.831578947368422</v>
      </c>
    </row>
    <row r="38" spans="1:4" x14ac:dyDescent="0.35">
      <c r="A38" s="10">
        <v>44957</v>
      </c>
      <c r="B38">
        <v>9.6</v>
      </c>
      <c r="C38">
        <v>16.82</v>
      </c>
      <c r="D38">
        <f t="shared" si="0"/>
        <v>14.563157894736845</v>
      </c>
    </row>
    <row r="39" spans="1:4" x14ac:dyDescent="0.35">
      <c r="A39" s="10">
        <v>44985</v>
      </c>
      <c r="B39">
        <v>8.9</v>
      </c>
      <c r="C39">
        <v>14.62</v>
      </c>
      <c r="D39">
        <f t="shared" si="0"/>
        <v>15.131578947368425</v>
      </c>
    </row>
    <row r="40" spans="1:4" x14ac:dyDescent="0.35">
      <c r="A40" s="10">
        <v>45016</v>
      </c>
      <c r="B40">
        <v>11.7</v>
      </c>
      <c r="C40">
        <v>12.56</v>
      </c>
      <c r="D40">
        <f t="shared" si="0"/>
        <v>15.236842105263158</v>
      </c>
    </row>
    <row r="41" spans="1:4" x14ac:dyDescent="0.35">
      <c r="A41" s="10">
        <v>45046</v>
      </c>
      <c r="B41">
        <v>18.899999999999999</v>
      </c>
      <c r="C41">
        <v>12.58</v>
      </c>
      <c r="D41">
        <f t="shared" si="0"/>
        <v>15.121052631578948</v>
      </c>
    </row>
    <row r="42" spans="1:4" x14ac:dyDescent="0.35">
      <c r="A42" s="10">
        <v>45077</v>
      </c>
      <c r="B42">
        <v>23.3</v>
      </c>
      <c r="C42">
        <v>14.48</v>
      </c>
      <c r="D42">
        <f t="shared" si="0"/>
        <v>15.221052631578944</v>
      </c>
    </row>
    <row r="43" spans="1:4" x14ac:dyDescent="0.35">
      <c r="A43" s="10">
        <v>45107</v>
      </c>
      <c r="B43">
        <v>26.4</v>
      </c>
      <c r="C43">
        <v>17.84</v>
      </c>
      <c r="D43">
        <f t="shared" si="0"/>
        <v>15.357894736842105</v>
      </c>
    </row>
    <row r="44" spans="1:4" x14ac:dyDescent="0.35">
      <c r="A44" s="10">
        <v>45138</v>
      </c>
      <c r="B44">
        <v>25.2</v>
      </c>
      <c r="C44">
        <v>21.1</v>
      </c>
      <c r="D44">
        <f t="shared" si="0"/>
        <v>15.447368421052632</v>
      </c>
    </row>
    <row r="45" spans="1:4" x14ac:dyDescent="0.35">
      <c r="A45" s="10">
        <v>45169</v>
      </c>
      <c r="B45">
        <v>21</v>
      </c>
      <c r="C45">
        <v>22.96</v>
      </c>
      <c r="D45">
        <f t="shared" si="0"/>
        <v>15.673684210526316</v>
      </c>
    </row>
    <row r="46" spans="1:4" x14ac:dyDescent="0.35">
      <c r="A46" s="10">
        <v>45199</v>
      </c>
      <c r="B46">
        <v>14.4</v>
      </c>
      <c r="C46">
        <v>22.06</v>
      </c>
      <c r="D46">
        <f t="shared" si="0"/>
        <v>16.078947368421051</v>
      </c>
    </row>
    <row r="47" spans="1:4" x14ac:dyDescent="0.35">
      <c r="A47" s="10">
        <v>45230</v>
      </c>
      <c r="B47">
        <v>9</v>
      </c>
      <c r="C47">
        <v>19.2</v>
      </c>
      <c r="D47">
        <f t="shared" si="0"/>
        <v>15.963157894736844</v>
      </c>
    </row>
    <row r="48" spans="1:4" x14ac:dyDescent="0.35">
      <c r="A48" s="10">
        <v>45260</v>
      </c>
      <c r="B48">
        <v>13.3</v>
      </c>
      <c r="C48">
        <v>16.579999999999998</v>
      </c>
      <c r="D48">
        <f t="shared" si="0"/>
        <v>15.763157894736842</v>
      </c>
    </row>
    <row r="49" spans="1:4" x14ac:dyDescent="0.35">
      <c r="A49" s="10">
        <v>45291</v>
      </c>
      <c r="B49">
        <v>24.8</v>
      </c>
      <c r="C49">
        <v>16.5</v>
      </c>
      <c r="D49">
        <f t="shared" si="0"/>
        <v>15.93157894736842</v>
      </c>
    </row>
    <row r="50" spans="1:4" x14ac:dyDescent="0.35">
      <c r="A50" s="10">
        <v>45322</v>
      </c>
      <c r="B50">
        <v>30.6</v>
      </c>
      <c r="C50">
        <v>18.420000000000002</v>
      </c>
      <c r="D50">
        <f t="shared" si="0"/>
        <v>16.742105263157896</v>
      </c>
    </row>
    <row r="51" spans="1:4" x14ac:dyDescent="0.35">
      <c r="A51" s="10">
        <v>45351</v>
      </c>
      <c r="B51">
        <v>26.9</v>
      </c>
      <c r="C51">
        <v>20.92</v>
      </c>
      <c r="D51">
        <f t="shared" si="0"/>
        <v>17.821052631578947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16F5-D88F-45EB-BD95-4266FC6F255D}">
  <dimension ref="A1:G11"/>
  <sheetViews>
    <sheetView zoomScale="130" zoomScaleNormal="130" workbookViewId="0">
      <selection activeCell="D7" sqref="D7"/>
    </sheetView>
  </sheetViews>
  <sheetFormatPr defaultRowHeight="12.75" x14ac:dyDescent="0.35"/>
  <cols>
    <col min="1" max="1" width="8.3984375" customWidth="1"/>
    <col min="3" max="3" width="11.1328125" customWidth="1"/>
  </cols>
  <sheetData>
    <row r="1" spans="1:7" ht="13.15" x14ac:dyDescent="0.4">
      <c r="A1" s="4" t="s">
        <v>3</v>
      </c>
      <c r="B1" s="4" t="s">
        <v>2</v>
      </c>
      <c r="C1" s="4" t="s">
        <v>6</v>
      </c>
      <c r="D1" s="15" t="s">
        <v>29</v>
      </c>
    </row>
    <row r="2" spans="1:7" x14ac:dyDescent="0.35">
      <c r="A2" s="5">
        <v>1</v>
      </c>
      <c r="B2" s="5">
        <v>100</v>
      </c>
      <c r="C2" s="6"/>
      <c r="E2" s="3" t="s">
        <v>7</v>
      </c>
      <c r="F2" s="3" t="s">
        <v>4</v>
      </c>
      <c r="G2" s="3" t="s">
        <v>5</v>
      </c>
    </row>
    <row r="3" spans="1:7" x14ac:dyDescent="0.35">
      <c r="A3" s="5">
        <v>2</v>
      </c>
      <c r="B3" s="5">
        <v>102</v>
      </c>
      <c r="C3" s="6"/>
    </row>
    <row r="4" spans="1:7" x14ac:dyDescent="0.35">
      <c r="A4" s="5">
        <v>3</v>
      </c>
      <c r="B4" s="5">
        <v>105</v>
      </c>
      <c r="C4" s="6"/>
    </row>
    <row r="5" spans="1:7" x14ac:dyDescent="0.35">
      <c r="A5" s="5">
        <v>4</v>
      </c>
      <c r="B5" s="5">
        <v>109</v>
      </c>
      <c r="C5" s="7">
        <f>0.5*B4+0.3*B3+0.2*B2</f>
        <v>103.1</v>
      </c>
      <c r="D5">
        <f>AVERAGE(B2:B4)</f>
        <v>102.33333333333333</v>
      </c>
    </row>
    <row r="6" spans="1:7" x14ac:dyDescent="0.35">
      <c r="A6" s="5">
        <v>5</v>
      </c>
      <c r="B6" s="5">
        <v>115</v>
      </c>
      <c r="C6" s="7">
        <f>0.5*B5+0.3*B4+0.2*B3</f>
        <v>106.4</v>
      </c>
      <c r="D6">
        <f t="shared" ref="D6:D7" si="0">AVERAGE(B3:B5)</f>
        <v>105.33333333333333</v>
      </c>
    </row>
    <row r="7" spans="1:7" x14ac:dyDescent="0.35">
      <c r="C7" s="7">
        <f>0.5*B6+0.3*B5+0.2*B4</f>
        <v>111.19999999999999</v>
      </c>
      <c r="D7">
        <f t="shared" si="0"/>
        <v>109.66666666666667</v>
      </c>
    </row>
    <row r="11" spans="1:7" x14ac:dyDescent="0.35">
      <c r="D11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87ED-8C13-43A8-B142-2AEACCDB71BD}">
  <dimension ref="A1:D16"/>
  <sheetViews>
    <sheetView workbookViewId="0">
      <selection activeCell="E20" sqref="E20"/>
    </sheetView>
  </sheetViews>
  <sheetFormatPr defaultRowHeight="12.75" x14ac:dyDescent="0.35"/>
  <cols>
    <col min="2" max="2" width="16.6640625" customWidth="1"/>
    <col min="3" max="3" width="17.19921875" customWidth="1"/>
  </cols>
  <sheetData>
    <row r="1" spans="1:4" ht="26.25" x14ac:dyDescent="0.35">
      <c r="A1" s="8" t="s">
        <v>8</v>
      </c>
      <c r="B1" s="8" t="s">
        <v>9</v>
      </c>
      <c r="C1" s="8" t="s">
        <v>10</v>
      </c>
    </row>
    <row r="2" spans="1:4" x14ac:dyDescent="0.35">
      <c r="A2" s="9">
        <v>1</v>
      </c>
      <c r="B2" s="9">
        <v>30</v>
      </c>
      <c r="C2" s="9"/>
    </row>
    <row r="3" spans="1:4" x14ac:dyDescent="0.35">
      <c r="A3" s="9">
        <v>2</v>
      </c>
      <c r="B3" s="9">
        <v>31</v>
      </c>
      <c r="C3" s="9"/>
    </row>
    <row r="4" spans="1:4" x14ac:dyDescent="0.35">
      <c r="A4" s="9">
        <v>3</v>
      </c>
      <c r="B4" s="9">
        <v>29</v>
      </c>
      <c r="C4" s="9"/>
    </row>
    <row r="5" spans="1:4" x14ac:dyDescent="0.35">
      <c r="A5" s="9">
        <v>4</v>
      </c>
      <c r="B5" s="9">
        <v>30</v>
      </c>
      <c r="C5" s="9"/>
    </row>
    <row r="6" spans="1:4" x14ac:dyDescent="0.35">
      <c r="A6" s="9">
        <v>5</v>
      </c>
      <c r="B6" s="9">
        <v>30</v>
      </c>
      <c r="C6" s="9">
        <v>30</v>
      </c>
    </row>
    <row r="7" spans="1:4" x14ac:dyDescent="0.35">
      <c r="A7" s="9">
        <v>6</v>
      </c>
      <c r="B7" s="9">
        <v>30</v>
      </c>
      <c r="C7" s="9">
        <v>30</v>
      </c>
    </row>
    <row r="8" spans="1:4" x14ac:dyDescent="0.35">
      <c r="A8" s="9">
        <v>7</v>
      </c>
      <c r="B8" s="9">
        <v>31</v>
      </c>
      <c r="C8" s="9">
        <v>30</v>
      </c>
    </row>
    <row r="9" spans="1:4" x14ac:dyDescent="0.35">
      <c r="A9" s="9">
        <v>8</v>
      </c>
      <c r="B9" s="9">
        <v>32</v>
      </c>
      <c r="C9" s="9">
        <v>30.6</v>
      </c>
    </row>
    <row r="10" spans="1:4" x14ac:dyDescent="0.35">
      <c r="A10" s="9">
        <v>9</v>
      </c>
      <c r="B10" s="9">
        <v>30</v>
      </c>
      <c r="C10" s="9">
        <v>30.6</v>
      </c>
    </row>
    <row r="11" spans="1:4" x14ac:dyDescent="0.35">
      <c r="A11" s="9">
        <v>10</v>
      </c>
      <c r="B11" s="9">
        <v>29</v>
      </c>
      <c r="C11" s="9">
        <v>30.4</v>
      </c>
    </row>
    <row r="12" spans="1:4" x14ac:dyDescent="0.35">
      <c r="A12" s="9">
        <v>11</v>
      </c>
      <c r="B12" s="9">
        <v>20</v>
      </c>
      <c r="C12" s="9">
        <v>28.4</v>
      </c>
      <c r="D12" t="s">
        <v>11</v>
      </c>
    </row>
    <row r="13" spans="1:4" x14ac:dyDescent="0.35">
      <c r="A13" s="9">
        <v>12</v>
      </c>
      <c r="B13" s="9">
        <v>21</v>
      </c>
      <c r="C13" s="9">
        <v>26.4</v>
      </c>
      <c r="D13" t="s">
        <v>12</v>
      </c>
    </row>
    <row r="14" spans="1:4" x14ac:dyDescent="0.35">
      <c r="A14" s="9">
        <v>13</v>
      </c>
      <c r="B14" s="9">
        <v>22</v>
      </c>
      <c r="C14" s="9">
        <v>24.4</v>
      </c>
      <c r="D14" t="s">
        <v>13</v>
      </c>
    </row>
    <row r="15" spans="1:4" x14ac:dyDescent="0.35">
      <c r="A15" s="9">
        <v>14</v>
      </c>
      <c r="B15" s="9">
        <v>23</v>
      </c>
      <c r="C15" s="9">
        <v>23</v>
      </c>
      <c r="D15" t="s">
        <v>13</v>
      </c>
    </row>
    <row r="16" spans="1:4" x14ac:dyDescent="0.35">
      <c r="A16" s="9">
        <v>15</v>
      </c>
      <c r="B16" s="9">
        <v>24</v>
      </c>
      <c r="C16" s="9">
        <v>22</v>
      </c>
      <c r="D16" t="s">
        <v>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9D421-1250-454C-B974-D61381A62D9E}">
  <dimension ref="A1:C22"/>
  <sheetViews>
    <sheetView workbookViewId="0">
      <selection activeCell="L10" sqref="L10"/>
    </sheetView>
  </sheetViews>
  <sheetFormatPr defaultRowHeight="12.75" x14ac:dyDescent="0.35"/>
  <sheetData>
    <row r="1" spans="1:3" ht="26.25" x14ac:dyDescent="0.35">
      <c r="A1" s="8" t="s">
        <v>0</v>
      </c>
      <c r="B1" s="8" t="s">
        <v>14</v>
      </c>
      <c r="C1" t="s">
        <v>15</v>
      </c>
    </row>
    <row r="2" spans="1:3" x14ac:dyDescent="0.35">
      <c r="A2" s="9">
        <v>1</v>
      </c>
      <c r="B2" s="9">
        <v>50</v>
      </c>
      <c r="C2">
        <v>50</v>
      </c>
    </row>
    <row r="3" spans="1:3" x14ac:dyDescent="0.35">
      <c r="A3" s="9">
        <v>2</v>
      </c>
      <c r="B3" s="9">
        <v>52</v>
      </c>
      <c r="C3">
        <f>0.2*B2 + 0.8*C2</f>
        <v>50</v>
      </c>
    </row>
    <row r="4" spans="1:3" x14ac:dyDescent="0.35">
      <c r="A4" s="9">
        <v>3</v>
      </c>
      <c r="B4" s="9">
        <v>49</v>
      </c>
      <c r="C4">
        <f>0.2*B3 + 0.8*C3</f>
        <v>50.4</v>
      </c>
    </row>
    <row r="5" spans="1:3" x14ac:dyDescent="0.35">
      <c r="A5" s="9">
        <v>4</v>
      </c>
      <c r="B5" s="9">
        <v>51</v>
      </c>
      <c r="C5">
        <f>0.2*B4+0.8*C4</f>
        <v>50.120000000000005</v>
      </c>
    </row>
    <row r="6" spans="1:3" x14ac:dyDescent="0.35">
      <c r="A6" s="9">
        <v>5</v>
      </c>
      <c r="B6" s="9">
        <v>50</v>
      </c>
      <c r="C6">
        <f t="shared" ref="C6:C21" si="0">0.2*B5+0.8*C5</f>
        <v>50.296000000000006</v>
      </c>
    </row>
    <row r="7" spans="1:3" x14ac:dyDescent="0.35">
      <c r="A7" s="9">
        <v>6</v>
      </c>
      <c r="B7" s="9">
        <v>52</v>
      </c>
      <c r="C7">
        <f t="shared" si="0"/>
        <v>50.236800000000009</v>
      </c>
    </row>
    <row r="8" spans="1:3" x14ac:dyDescent="0.35">
      <c r="A8" s="9">
        <v>7</v>
      </c>
      <c r="B8" s="9">
        <v>51</v>
      </c>
      <c r="C8">
        <f t="shared" si="0"/>
        <v>50.58944000000001</v>
      </c>
    </row>
    <row r="9" spans="1:3" x14ac:dyDescent="0.35">
      <c r="A9" s="9">
        <v>8</v>
      </c>
      <c r="B9" s="9">
        <v>53</v>
      </c>
      <c r="C9">
        <f t="shared" si="0"/>
        <v>50.671552000000013</v>
      </c>
    </row>
    <row r="10" spans="1:3" x14ac:dyDescent="0.35">
      <c r="A10" s="9">
        <v>9</v>
      </c>
      <c r="B10" s="9">
        <v>52</v>
      </c>
      <c r="C10">
        <f t="shared" si="0"/>
        <v>51.137241600000017</v>
      </c>
    </row>
    <row r="11" spans="1:3" x14ac:dyDescent="0.35">
      <c r="A11" s="9">
        <v>10</v>
      </c>
      <c r="B11" s="9">
        <v>50</v>
      </c>
      <c r="C11">
        <f t="shared" si="0"/>
        <v>51.309793280000015</v>
      </c>
    </row>
    <row r="12" spans="1:3" x14ac:dyDescent="0.35">
      <c r="A12" s="9">
        <v>11</v>
      </c>
      <c r="B12" s="9">
        <v>49</v>
      </c>
      <c r="C12">
        <f t="shared" si="0"/>
        <v>51.047834624000018</v>
      </c>
    </row>
    <row r="13" spans="1:3" x14ac:dyDescent="0.35">
      <c r="A13" s="9">
        <v>12</v>
      </c>
      <c r="B13" s="9">
        <v>51</v>
      </c>
      <c r="C13">
        <f t="shared" si="0"/>
        <v>50.638267699200014</v>
      </c>
    </row>
    <row r="14" spans="1:3" x14ac:dyDescent="0.35">
      <c r="A14" s="9">
        <v>13</v>
      </c>
      <c r="B14" s="9">
        <v>50</v>
      </c>
      <c r="C14">
        <f t="shared" si="0"/>
        <v>50.71061415936002</v>
      </c>
    </row>
    <row r="15" spans="1:3" x14ac:dyDescent="0.35">
      <c r="A15" s="9">
        <v>14</v>
      </c>
      <c r="B15" s="9">
        <v>52</v>
      </c>
      <c r="C15">
        <f t="shared" si="0"/>
        <v>50.568491327488019</v>
      </c>
    </row>
    <row r="16" spans="1:3" x14ac:dyDescent="0.35">
      <c r="A16" s="9">
        <v>15</v>
      </c>
      <c r="B16" s="9">
        <v>51</v>
      </c>
      <c r="C16">
        <f t="shared" si="0"/>
        <v>50.854793061990414</v>
      </c>
    </row>
    <row r="17" spans="1:3" x14ac:dyDescent="0.35">
      <c r="A17" s="9">
        <v>16</v>
      </c>
      <c r="B17" s="9">
        <v>53</v>
      </c>
      <c r="C17">
        <f t="shared" si="0"/>
        <v>50.883834449592335</v>
      </c>
    </row>
    <row r="18" spans="1:3" x14ac:dyDescent="0.35">
      <c r="A18" s="9">
        <v>17</v>
      </c>
      <c r="B18" s="9">
        <v>52</v>
      </c>
      <c r="C18">
        <f t="shared" si="0"/>
        <v>51.307067559673875</v>
      </c>
    </row>
    <row r="19" spans="1:3" x14ac:dyDescent="0.35">
      <c r="A19" s="9">
        <v>18</v>
      </c>
      <c r="B19" s="9">
        <v>50</v>
      </c>
      <c r="C19">
        <f t="shared" si="0"/>
        <v>51.445654047739104</v>
      </c>
    </row>
    <row r="20" spans="1:3" x14ac:dyDescent="0.35">
      <c r="A20" s="9">
        <v>19</v>
      </c>
      <c r="B20" s="9">
        <v>49</v>
      </c>
      <c r="C20">
        <f t="shared" si="0"/>
        <v>51.156523238191284</v>
      </c>
    </row>
    <row r="21" spans="1:3" x14ac:dyDescent="0.35">
      <c r="A21" s="9">
        <v>20</v>
      </c>
      <c r="B21" s="9">
        <v>51</v>
      </c>
      <c r="C21">
        <f t="shared" si="0"/>
        <v>50.725218590553027</v>
      </c>
    </row>
    <row r="22" spans="1:3" x14ac:dyDescent="0.35">
      <c r="C22">
        <f>0.2*B21+0.8*C21</f>
        <v>50.78017487244243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89660-68E2-4FA9-B621-592C09EDE1F1}">
  <dimension ref="A1:E23"/>
  <sheetViews>
    <sheetView workbookViewId="0">
      <selection activeCell="H21" sqref="H21"/>
    </sheetView>
  </sheetViews>
  <sheetFormatPr defaultRowHeight="12.75" x14ac:dyDescent="0.35"/>
  <cols>
    <col min="2" max="2" width="13.33203125" customWidth="1"/>
    <col min="5" max="5" width="12.59765625" customWidth="1"/>
  </cols>
  <sheetData>
    <row r="1" spans="1:5" x14ac:dyDescent="0.35">
      <c r="B1" t="s">
        <v>22</v>
      </c>
      <c r="C1">
        <v>0.4</v>
      </c>
    </row>
    <row r="2" spans="1:5" x14ac:dyDescent="0.35">
      <c r="B2" t="s">
        <v>23</v>
      </c>
      <c r="C2">
        <v>0.1</v>
      </c>
    </row>
    <row r="3" spans="1:5" ht="26.25" x14ac:dyDescent="0.35">
      <c r="A3" s="8" t="s">
        <v>20</v>
      </c>
      <c r="B3" s="8" t="s">
        <v>21</v>
      </c>
      <c r="C3" s="8" t="s">
        <v>16</v>
      </c>
      <c r="D3" s="8" t="s">
        <v>19</v>
      </c>
      <c r="E3" s="8" t="s">
        <v>24</v>
      </c>
    </row>
    <row r="4" spans="1:5" x14ac:dyDescent="0.35">
      <c r="A4" s="9">
        <v>1</v>
      </c>
      <c r="B4" s="9">
        <v>650</v>
      </c>
      <c r="C4" s="9">
        <f>B4</f>
        <v>650</v>
      </c>
      <c r="D4" s="9">
        <f>B5-B4</f>
        <v>28</v>
      </c>
      <c r="E4" s="9"/>
    </row>
    <row r="5" spans="1:5" x14ac:dyDescent="0.35">
      <c r="A5" s="9">
        <v>2</v>
      </c>
      <c r="B5" s="9">
        <v>678</v>
      </c>
      <c r="C5" s="9">
        <f>$C$1*B5+(1-$C$1)*(C4+D4)</f>
        <v>678</v>
      </c>
      <c r="D5" s="9">
        <f>$C$2*(C5-C4)+(1-$C$2)*(D4)</f>
        <v>28</v>
      </c>
      <c r="E5" s="9">
        <f>C4</f>
        <v>650</v>
      </c>
    </row>
    <row r="6" spans="1:5" x14ac:dyDescent="0.35">
      <c r="A6" s="9">
        <v>3</v>
      </c>
      <c r="B6" s="9">
        <v>720</v>
      </c>
      <c r="C6" s="9">
        <f>$C$1*B6+(1-$C$1)*(C5+D5)</f>
        <v>711.59999999999991</v>
      </c>
      <c r="D6" s="9">
        <f>$C$2*(C6-C5)+(1-$C$2)*(D5)</f>
        <v>28.559999999999992</v>
      </c>
      <c r="E6" s="9">
        <f>C5+D5</f>
        <v>706</v>
      </c>
    </row>
    <row r="7" spans="1:5" x14ac:dyDescent="0.35">
      <c r="A7" s="9">
        <v>4</v>
      </c>
      <c r="B7" s="9">
        <v>785</v>
      </c>
      <c r="C7" s="9">
        <f t="shared" ref="C7:C15" si="0">$C$1*B7+(1-$C$1)*(C6+D6)</f>
        <v>758.09599999999989</v>
      </c>
      <c r="D7" s="9">
        <f t="shared" ref="D7:D15" si="1">$C$2*(C7-C6)+(1-$C$2)*(D6)</f>
        <v>30.353599999999993</v>
      </c>
      <c r="E7" s="9">
        <f>C6+D6</f>
        <v>740.15999999999985</v>
      </c>
    </row>
    <row r="8" spans="1:5" x14ac:dyDescent="0.35">
      <c r="A8" s="9">
        <v>5</v>
      </c>
      <c r="B8" s="9">
        <v>859</v>
      </c>
      <c r="C8" s="9">
        <f t="shared" si="0"/>
        <v>816.66976</v>
      </c>
      <c r="D8" s="9">
        <f t="shared" si="1"/>
        <v>33.175616000000005</v>
      </c>
      <c r="E8" s="9">
        <f t="shared" ref="E8:E15" si="2">C7+D7</f>
        <v>788.44959999999992</v>
      </c>
    </row>
    <row r="9" spans="1:5" x14ac:dyDescent="0.35">
      <c r="A9" s="9">
        <v>6</v>
      </c>
      <c r="B9" s="9">
        <v>920</v>
      </c>
      <c r="C9" s="9">
        <f t="shared" si="0"/>
        <v>877.90722559999995</v>
      </c>
      <c r="D9" s="9">
        <f t="shared" si="1"/>
        <v>35.981800960000001</v>
      </c>
      <c r="E9" s="9">
        <f t="shared" si="2"/>
        <v>849.84537599999999</v>
      </c>
    </row>
    <row r="10" spans="1:5" x14ac:dyDescent="0.35">
      <c r="A10" s="9">
        <v>7</v>
      </c>
      <c r="B10" s="9">
        <v>850</v>
      </c>
      <c r="C10" s="9">
        <f t="shared" si="0"/>
        <v>888.33341593599994</v>
      </c>
      <c r="D10" s="9">
        <f t="shared" si="1"/>
        <v>33.426239897599999</v>
      </c>
      <c r="E10" s="9">
        <f t="shared" si="2"/>
        <v>913.88902655999993</v>
      </c>
    </row>
    <row r="11" spans="1:5" x14ac:dyDescent="0.35">
      <c r="A11" s="9">
        <v>8</v>
      </c>
      <c r="B11" s="9">
        <v>758</v>
      </c>
      <c r="C11" s="9">
        <f t="shared" si="0"/>
        <v>856.25579350015983</v>
      </c>
      <c r="D11" s="9">
        <f t="shared" si="1"/>
        <v>26.875853664255988</v>
      </c>
      <c r="E11" s="9">
        <f t="shared" si="2"/>
        <v>921.75965583359994</v>
      </c>
    </row>
    <row r="12" spans="1:5" x14ac:dyDescent="0.35">
      <c r="A12" s="9">
        <v>9</v>
      </c>
      <c r="B12" s="9">
        <v>892</v>
      </c>
      <c r="C12" s="9">
        <f t="shared" si="0"/>
        <v>886.67898829864953</v>
      </c>
      <c r="D12" s="9">
        <f t="shared" si="1"/>
        <v>27.230587777679361</v>
      </c>
      <c r="E12" s="9">
        <f t="shared" si="2"/>
        <v>883.13164716441577</v>
      </c>
    </row>
    <row r="13" spans="1:5" x14ac:dyDescent="0.35">
      <c r="A13" s="9">
        <v>10</v>
      </c>
      <c r="B13" s="9">
        <v>920</v>
      </c>
      <c r="C13" s="9">
        <f t="shared" si="0"/>
        <v>916.34574564579736</v>
      </c>
      <c r="D13" s="9">
        <f t="shared" si="1"/>
        <v>27.474204734626209</v>
      </c>
      <c r="E13" s="9">
        <f t="shared" si="2"/>
        <v>913.9095760763289</v>
      </c>
    </row>
    <row r="14" spans="1:5" x14ac:dyDescent="0.35">
      <c r="A14" s="9">
        <v>11</v>
      </c>
      <c r="B14" s="9">
        <v>789</v>
      </c>
      <c r="C14" s="9">
        <f t="shared" si="0"/>
        <v>881.89197022825419</v>
      </c>
      <c r="D14" s="9">
        <f t="shared" si="1"/>
        <v>21.281406719409269</v>
      </c>
      <c r="E14" s="9">
        <f t="shared" si="2"/>
        <v>943.81995038042362</v>
      </c>
    </row>
    <row r="15" spans="1:5" x14ac:dyDescent="0.35">
      <c r="A15" s="9">
        <v>12</v>
      </c>
      <c r="B15" s="9">
        <v>844</v>
      </c>
      <c r="C15" s="9">
        <f t="shared" si="0"/>
        <v>879.5040261685981</v>
      </c>
      <c r="D15" s="9">
        <f t="shared" si="1"/>
        <v>18.914471641502733</v>
      </c>
      <c r="E15" s="9">
        <f t="shared" si="2"/>
        <v>903.17337694766343</v>
      </c>
    </row>
    <row r="16" spans="1:5" x14ac:dyDescent="0.35">
      <c r="E16" s="9">
        <f>C15+D15</f>
        <v>898.4184978101008</v>
      </c>
    </row>
    <row r="22" spans="1:1" x14ac:dyDescent="0.35">
      <c r="A22" t="s">
        <v>17</v>
      </c>
    </row>
    <row r="23" spans="1:1" x14ac:dyDescent="0.35">
      <c r="A23" t="s">
        <v>18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9B944-5700-47E8-AAA6-39C628FE1BAD}">
  <dimension ref="A1:F10"/>
  <sheetViews>
    <sheetView tabSelected="1" workbookViewId="0">
      <selection activeCell="K12" sqref="K12"/>
    </sheetView>
  </sheetViews>
  <sheetFormatPr defaultRowHeight="12.75" x14ac:dyDescent="0.35"/>
  <cols>
    <col min="2" max="2" width="18.46484375" customWidth="1"/>
    <col min="3" max="3" width="27.06640625" customWidth="1"/>
    <col min="5" max="5" width="10.6640625" customWidth="1"/>
    <col min="6" max="6" width="10" customWidth="1"/>
  </cols>
  <sheetData>
    <row r="1" spans="1:6" ht="25.5" x14ac:dyDescent="0.35">
      <c r="A1" s="11" t="s">
        <v>8</v>
      </c>
      <c r="B1" s="11" t="s">
        <v>30</v>
      </c>
      <c r="C1" s="12" t="s">
        <v>31</v>
      </c>
      <c r="D1" s="13" t="s">
        <v>32</v>
      </c>
      <c r="E1" s="13" t="s">
        <v>34</v>
      </c>
      <c r="F1" s="13" t="s">
        <v>35</v>
      </c>
    </row>
    <row r="2" spans="1:6" x14ac:dyDescent="0.35">
      <c r="A2" s="14">
        <v>1</v>
      </c>
      <c r="B2" s="14">
        <v>20</v>
      </c>
      <c r="C2" s="14">
        <v>21</v>
      </c>
      <c r="D2">
        <f>ABS(B2-C2)</f>
        <v>1</v>
      </c>
      <c r="E2">
        <f>(B2-C2)^2</f>
        <v>1</v>
      </c>
      <c r="F2">
        <f>ABS(B2-C2)/B2</f>
        <v>0.05</v>
      </c>
    </row>
    <row r="3" spans="1:6" x14ac:dyDescent="0.35">
      <c r="A3" s="14">
        <v>2</v>
      </c>
      <c r="B3" s="14">
        <v>22</v>
      </c>
      <c r="C3" s="14">
        <v>20</v>
      </c>
      <c r="D3">
        <f t="shared" ref="D3:D6" si="0">ABS(B3-C3)</f>
        <v>2</v>
      </c>
      <c r="E3">
        <f t="shared" ref="E3:E6" si="1">(B3-C3)^2</f>
        <v>4</v>
      </c>
      <c r="F3">
        <f t="shared" ref="F3:F6" si="2">ABS(B3-C3)/B3</f>
        <v>9.0909090909090912E-2</v>
      </c>
    </row>
    <row r="4" spans="1:6" x14ac:dyDescent="0.35">
      <c r="A4" s="14">
        <v>3</v>
      </c>
      <c r="B4" s="14">
        <v>25</v>
      </c>
      <c r="C4" s="14">
        <v>35</v>
      </c>
      <c r="D4">
        <f t="shared" si="0"/>
        <v>10</v>
      </c>
      <c r="E4">
        <f t="shared" si="1"/>
        <v>100</v>
      </c>
      <c r="F4">
        <f t="shared" si="2"/>
        <v>0.4</v>
      </c>
    </row>
    <row r="5" spans="1:6" x14ac:dyDescent="0.35">
      <c r="A5" s="14">
        <v>4</v>
      </c>
      <c r="B5" s="14">
        <v>23</v>
      </c>
      <c r="C5" s="14">
        <v>24</v>
      </c>
      <c r="D5">
        <f t="shared" si="0"/>
        <v>1</v>
      </c>
      <c r="E5">
        <f t="shared" si="1"/>
        <v>1</v>
      </c>
      <c r="F5">
        <f t="shared" si="2"/>
        <v>4.3478260869565216E-2</v>
      </c>
    </row>
    <row r="6" spans="1:6" x14ac:dyDescent="0.35">
      <c r="A6" s="14">
        <v>5</v>
      </c>
      <c r="B6" s="14">
        <v>21</v>
      </c>
      <c r="C6" s="14">
        <v>22</v>
      </c>
      <c r="D6">
        <f t="shared" si="0"/>
        <v>1</v>
      </c>
      <c r="E6">
        <f t="shared" si="1"/>
        <v>1</v>
      </c>
      <c r="F6">
        <f t="shared" si="2"/>
        <v>4.7619047619047616E-2</v>
      </c>
    </row>
    <row r="8" spans="1:6" x14ac:dyDescent="0.35">
      <c r="C8" s="13"/>
      <c r="D8">
        <f>AVERAGE(D2:D6)</f>
        <v>3</v>
      </c>
      <c r="E8">
        <f>AVERAGE(E2:E6)</f>
        <v>21.4</v>
      </c>
      <c r="F8">
        <f>AVERAGE(F2:F6)*100</f>
        <v>12.640127987954077</v>
      </c>
    </row>
    <row r="10" spans="1:6" x14ac:dyDescent="0.35">
      <c r="D10" s="13" t="s">
        <v>33</v>
      </c>
      <c r="E10">
        <f>SQRT(E8)</f>
        <v>4.6260134024881507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SMA</vt:lpstr>
      <vt:lpstr>SMA_Window</vt:lpstr>
      <vt:lpstr>WMA</vt:lpstr>
      <vt:lpstr>Limitations_SMA</vt:lpstr>
      <vt:lpstr>SES</vt:lpstr>
      <vt:lpstr>Holts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Yuvaraju Maddiboina</cp:lastModifiedBy>
  <dcterms:modified xsi:type="dcterms:W3CDTF">2025-08-03T04:34:21Z</dcterms:modified>
</cp:coreProperties>
</file>