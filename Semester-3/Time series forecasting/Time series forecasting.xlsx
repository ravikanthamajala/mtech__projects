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M__DS AND AI\Semester-3\Time series forecasting\"/>
    </mc:Choice>
  </mc:AlternateContent>
  <xr:revisionPtr revIDLastSave="0" documentId="13_ncr:1_{CEB6B092-919B-4432-9C96-8EB4E90F6800}" xr6:coauthVersionLast="47" xr6:coauthVersionMax="47" xr10:uidLastSave="{00000000-0000-0000-0000-000000000000}"/>
  <bookViews>
    <workbookView xWindow="-120" yWindow="-120" windowWidth="29040" windowHeight="15720" xr2:uid="{6C9217CF-142C-4843-BA83-CCFC179C8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C65" i="1"/>
  <c r="C66" i="1" s="1"/>
  <c r="C67" i="1" s="1"/>
  <c r="C68" i="1" s="1"/>
  <c r="C69" i="1" s="1"/>
  <c r="C70" i="1" s="1"/>
  <c r="C71" i="1" s="1"/>
  <c r="C72" i="1" s="1"/>
  <c r="C73" i="1" s="1"/>
  <c r="C74" i="1" s="1"/>
  <c r="C64" i="1"/>
  <c r="C46" i="1"/>
  <c r="C47" i="1"/>
  <c r="C48" i="1" s="1"/>
  <c r="C49" i="1" s="1"/>
  <c r="C50" i="1" s="1"/>
  <c r="C51" i="1" s="1"/>
  <c r="C52" i="1" s="1"/>
  <c r="C53" i="1" s="1"/>
  <c r="C54" i="1" s="1"/>
  <c r="C45" i="1"/>
  <c r="B48" i="1"/>
  <c r="B49" i="1"/>
  <c r="B50" i="1"/>
  <c r="B51" i="1"/>
  <c r="B52" i="1"/>
  <c r="B53" i="1"/>
  <c r="B54" i="1"/>
  <c r="B47" i="1"/>
  <c r="C28" i="1"/>
  <c r="E28" i="1"/>
  <c r="F29" i="1"/>
  <c r="F28" i="1"/>
  <c r="E29" i="1"/>
  <c r="D29" i="1"/>
  <c r="D30" i="1"/>
  <c r="D28" i="1"/>
  <c r="C29" i="1"/>
  <c r="C30" i="1"/>
  <c r="F7" i="1"/>
  <c r="F8" i="1"/>
  <c r="F9" i="1"/>
  <c r="F10" i="1"/>
  <c r="F11" i="1"/>
  <c r="F12" i="1"/>
  <c r="F6" i="1"/>
  <c r="E7" i="1"/>
  <c r="E8" i="1"/>
  <c r="E9" i="1"/>
  <c r="E10" i="1"/>
  <c r="E11" i="1"/>
  <c r="E12" i="1"/>
  <c r="E13" i="1"/>
  <c r="E6" i="1"/>
  <c r="D13" i="1"/>
  <c r="D6" i="1"/>
  <c r="D7" i="1"/>
  <c r="D8" i="1"/>
  <c r="D9" i="1"/>
  <c r="D10" i="1"/>
  <c r="D11" i="1"/>
  <c r="D5" i="1"/>
  <c r="C12" i="1"/>
  <c r="C6" i="1"/>
  <c r="C7" i="1"/>
  <c r="C8" i="1"/>
  <c r="C9" i="1"/>
  <c r="C10" i="1"/>
  <c r="C11" i="1"/>
  <c r="C5" i="1"/>
  <c r="F13" i="1" l="1"/>
</calcChain>
</file>

<file path=xl/sharedStrings.xml><?xml version="1.0" encoding="utf-8"?>
<sst xmlns="http://schemas.openxmlformats.org/spreadsheetml/2006/main" count="25" uniqueCount="23">
  <si>
    <t>Time</t>
  </si>
  <si>
    <t>Time(t)</t>
  </si>
  <si>
    <t>Actual value(Yt)</t>
  </si>
  <si>
    <t>SMA(Window=3)</t>
  </si>
  <si>
    <t>MAE</t>
  </si>
  <si>
    <t>SMA(Window=4)</t>
  </si>
  <si>
    <t>Weightted moving Average</t>
  </si>
  <si>
    <t>Value</t>
  </si>
  <si>
    <t>WMV</t>
  </si>
  <si>
    <t>W1=0.5</t>
  </si>
  <si>
    <t>W2=0.3</t>
  </si>
  <si>
    <t>W3=0.2</t>
  </si>
  <si>
    <t>Error WMA</t>
  </si>
  <si>
    <t>SMA</t>
  </si>
  <si>
    <t>Error SMA</t>
  </si>
  <si>
    <t>Simple Exponential smoothenning</t>
  </si>
  <si>
    <t>Data</t>
  </si>
  <si>
    <t>SES</t>
  </si>
  <si>
    <t xml:space="preserve">Week </t>
  </si>
  <si>
    <t>demand</t>
  </si>
  <si>
    <t>Lt</t>
  </si>
  <si>
    <t>bt</t>
  </si>
  <si>
    <t>Forecast(Ft+m)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</si>
</sst>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29671296296296296"/>
          <c:w val="0.90297462817147855"/>
          <c:h val="0.615354695246427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B-4B5F-B30B-F68434EED4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Sheet1!$C$2:$C$12</c:f>
              <c:numCache>
                <c:formatCode>General</c:formatCode>
                <c:ptCount val="11"/>
                <c:pt idx="3">
                  <c:v>11</c:v>
                </c:pt>
                <c:pt idx="4">
                  <c:v>12.666666666666666</c:v>
                </c:pt>
                <c:pt idx="5">
                  <c:v>13.333333333333334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18.333333333333332</c:v>
                </c:pt>
                <c:pt idx="10">
                  <c:v>18.666666666666668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B-4B5F-B30B-F68434EE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286255"/>
        <c:axId val="1806283375"/>
      </c:lineChart>
      <c:catAx>
        <c:axId val="180628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83375"/>
        <c:crosses val="autoZero"/>
        <c:auto val="1"/>
        <c:lblAlgn val="ctr"/>
        <c:lblOffset val="100"/>
        <c:noMultiLvlLbl val="0"/>
      </c:catAx>
      <c:valAx>
        <c:axId val="18062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8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2.7616287547389901E-2"/>
          <c:w val="0.90297462817147855"/>
          <c:h val="0.7496139545056866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 value(Yt)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A-4F26-B013-AF01EE9A295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SMA(Window=4)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Sheet1!$E$2:$E$12</c:f>
              <c:numCache>
                <c:formatCode>General</c:formatCode>
                <c:ptCount val="11"/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15.75</c:v>
                </c:pt>
                <c:pt idx="8">
                  <c:v>16.25</c:v>
                </c:pt>
                <c:pt idx="9">
                  <c:v>17.75</c:v>
                </c:pt>
                <c:pt idx="10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A-4F26-B013-AF01EE9A2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297775"/>
        <c:axId val="1806290095"/>
      </c:lineChart>
      <c:catAx>
        <c:axId val="180629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90095"/>
        <c:crosses val="autoZero"/>
        <c:auto val="1"/>
        <c:lblAlgn val="ctr"/>
        <c:lblOffset val="100"/>
        <c:noMultiLvlLbl val="0"/>
      </c:catAx>
      <c:valAx>
        <c:axId val="18062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Sheet1!$B$25:$B$29</c:f>
              <c:numCache>
                <c:formatCode>General</c:formatCode>
                <c:ptCount val="5"/>
                <c:pt idx="0">
                  <c:v>100</c:v>
                </c:pt>
                <c:pt idx="1">
                  <c:v>102</c:v>
                </c:pt>
                <c:pt idx="2">
                  <c:v>105</c:v>
                </c:pt>
                <c:pt idx="3">
                  <c:v>109</c:v>
                </c:pt>
                <c:pt idx="4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1-45DF-8339-9E594D827DCE}"/>
            </c:ext>
          </c:extLst>
        </c:ser>
        <c:ser>
          <c:idx val="1"/>
          <c:order val="1"/>
          <c:tx>
            <c:strRef>
              <c:f>Sheet1!$C$24</c:f>
              <c:strCache>
                <c:ptCount val="1"/>
                <c:pt idx="0">
                  <c:v>WMV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Sheet1!$C$25:$C$29</c:f>
              <c:numCache>
                <c:formatCode>General</c:formatCode>
                <c:ptCount val="5"/>
                <c:pt idx="3">
                  <c:v>103.1</c:v>
                </c:pt>
                <c:pt idx="4">
                  <c:v>106.4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1-45DF-8339-9E594D827DCE}"/>
            </c:ext>
          </c:extLst>
        </c:ser>
        <c:ser>
          <c:idx val="2"/>
          <c:order val="2"/>
          <c:tx>
            <c:strRef>
              <c:f>Sheet1!$D$24</c:f>
              <c:strCache>
                <c:ptCount val="1"/>
                <c:pt idx="0">
                  <c:v>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Sheet1!$D$25:$D$29</c:f>
              <c:numCache>
                <c:formatCode>General</c:formatCode>
                <c:ptCount val="5"/>
                <c:pt idx="3">
                  <c:v>102.33333333333333</c:v>
                </c:pt>
                <c:pt idx="4">
                  <c:v>105.33333333333333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1-45DF-8339-9E594D827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04063"/>
        <c:axId val="54807423"/>
      </c:lineChart>
      <c:catAx>
        <c:axId val="54804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423"/>
        <c:crosses val="autoZero"/>
        <c:auto val="1"/>
        <c:lblAlgn val="ctr"/>
        <c:lblOffset val="100"/>
        <c:noMultiLvlLbl val="0"/>
      </c:catAx>
      <c:valAx>
        <c:axId val="548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30076443569553807"/>
          <c:w val="0.9029746281714785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Sheet1!$A$43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Sheet1!$A$44:$A$54</c:f>
              <c:numCache>
                <c:formatCode>General</c:formatCode>
                <c:ptCount val="11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35</c:v>
                </c:pt>
                <c:pt idx="7">
                  <c:v>36</c:v>
                </c:pt>
                <c:pt idx="8">
                  <c:v>38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6-4512-8118-12D660668888}"/>
            </c:ext>
          </c:extLst>
        </c:ser>
        <c:ser>
          <c:idx val="1"/>
          <c:order val="1"/>
          <c:tx>
            <c:strRef>
              <c:f>Sheet1!$B$43</c:f>
              <c:strCache>
                <c:ptCount val="1"/>
                <c:pt idx="0">
                  <c:v>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Sheet1!$B$44:$B$54</c:f>
              <c:numCache>
                <c:formatCode>General</c:formatCode>
                <c:ptCount val="11"/>
                <c:pt idx="3">
                  <c:v>22</c:v>
                </c:pt>
                <c:pt idx="4">
                  <c:v>24.666666666666668</c:v>
                </c:pt>
                <c:pt idx="5">
                  <c:v>27.333333333333332</c:v>
                </c:pt>
                <c:pt idx="6">
                  <c:v>29.666666666666668</c:v>
                </c:pt>
                <c:pt idx="7">
                  <c:v>32</c:v>
                </c:pt>
                <c:pt idx="8">
                  <c:v>34</c:v>
                </c:pt>
                <c:pt idx="9">
                  <c:v>36.333333333333336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6-4512-8118-12D660668888}"/>
            </c:ext>
          </c:extLst>
        </c:ser>
        <c:ser>
          <c:idx val="2"/>
          <c:order val="2"/>
          <c:tx>
            <c:strRef>
              <c:f>Sheet1!$C$43</c:f>
              <c:strCache>
                <c:ptCount val="1"/>
                <c:pt idx="0">
                  <c:v>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Sheet1!$C$44:$C$54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21.6</c:v>
                </c:pt>
                <c:pt idx="3">
                  <c:v>23.520000000000003</c:v>
                </c:pt>
                <c:pt idx="4">
                  <c:v>27.104000000000003</c:v>
                </c:pt>
                <c:pt idx="5">
                  <c:v>29.4208</c:v>
                </c:pt>
                <c:pt idx="6">
                  <c:v>30.684160000000002</c:v>
                </c:pt>
                <c:pt idx="7">
                  <c:v>34.136831999999998</c:v>
                </c:pt>
                <c:pt idx="8">
                  <c:v>35.6273664</c:v>
                </c:pt>
                <c:pt idx="9">
                  <c:v>37.52547328</c:v>
                </c:pt>
                <c:pt idx="10">
                  <c:v>39.505094655999997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A6-4512-8118-12D66066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299695"/>
        <c:axId val="1806294895"/>
      </c:lineChart>
      <c:catAx>
        <c:axId val="180629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94895"/>
        <c:crosses val="autoZero"/>
        <c:auto val="1"/>
        <c:lblAlgn val="ctr"/>
        <c:lblOffset val="100"/>
        <c:noMultiLvlLbl val="0"/>
      </c:catAx>
      <c:valAx>
        <c:axId val="180629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</xdr:row>
      <xdr:rowOff>180975</xdr:rowOff>
    </xdr:from>
    <xdr:to>
      <xdr:col>16</xdr:col>
      <xdr:colOff>57150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DE15A-9262-C773-600C-8478650C1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485775</xdr:colOff>
      <xdr:row>2</xdr:row>
      <xdr:rowOff>71437</xdr:rowOff>
    </xdr:from>
    <xdr:to>
      <xdr:col>24</xdr:col>
      <xdr:colOff>180975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97281-BB55-E6ED-5E97-3A73C14B9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400050</xdr:colOff>
      <xdr:row>21</xdr:row>
      <xdr:rowOff>42862</xdr:rowOff>
    </xdr:from>
    <xdr:to>
      <xdr:col>20</xdr:col>
      <xdr:colOff>95250</xdr:colOff>
      <xdr:row>35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0AAFD8-6C2D-4056-5C04-BBFBA1638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438150</xdr:colOff>
      <xdr:row>41</xdr:row>
      <xdr:rowOff>176212</xdr:rowOff>
    </xdr:from>
    <xdr:to>
      <xdr:col>10</xdr:col>
      <xdr:colOff>190500</xdr:colOff>
      <xdr:row>56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44335D-F3BB-FB50-F444-4947BDC15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176A-7F5C-4FD6-B9A2-891CFCD5AC45}">
  <dimension ref="A1:K74"/>
  <sheetViews>
    <sheetView tabSelected="1" topLeftCell="A44" workbookViewId="0">
      <selection activeCell="D79" sqref="D79"/>
    </sheetView>
  </sheetViews>
  <sheetFormatPr defaultRowHeight="15" x14ac:dyDescent="0.25"/>
  <cols>
    <col min="1" max="1" width="24.28515625" bestFit="1" customWidth="1"/>
    <col min="2" max="2" width="14.85546875" bestFit="1" customWidth="1"/>
    <col min="3" max="3" width="15.42578125" bestFit="1" customWidth="1"/>
    <col min="4" max="4" width="12" bestFit="1" customWidth="1"/>
    <col min="5" max="5" width="15.42578125" bestFit="1" customWidth="1"/>
    <col min="6" max="6" width="12" bestFit="1" customWidth="1"/>
    <col min="7" max="8" width="7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4</v>
      </c>
    </row>
    <row r="2" spans="1:6" x14ac:dyDescent="0.25">
      <c r="A2">
        <v>1</v>
      </c>
      <c r="B2">
        <v>10</v>
      </c>
    </row>
    <row r="3" spans="1:6" x14ac:dyDescent="0.25">
      <c r="A3">
        <v>2</v>
      </c>
      <c r="B3">
        <v>12</v>
      </c>
    </row>
    <row r="4" spans="1:6" x14ac:dyDescent="0.25">
      <c r="A4">
        <v>3</v>
      </c>
      <c r="B4">
        <v>11</v>
      </c>
    </row>
    <row r="5" spans="1:6" x14ac:dyDescent="0.25">
      <c r="A5">
        <v>4</v>
      </c>
      <c r="B5">
        <v>15</v>
      </c>
      <c r="C5">
        <f>AVERAGE(B2,B3,B4)</f>
        <v>11</v>
      </c>
      <c r="D5">
        <f>B5-C5</f>
        <v>4</v>
      </c>
    </row>
    <row r="6" spans="1:6" x14ac:dyDescent="0.25">
      <c r="A6">
        <v>5</v>
      </c>
      <c r="B6">
        <v>14</v>
      </c>
      <c r="C6">
        <f t="shared" ref="C6:E12" si="0">AVERAGE(B3,B4,B5)</f>
        <v>12.666666666666666</v>
      </c>
      <c r="D6">
        <f t="shared" ref="D6:D12" si="1">B6-C6</f>
        <v>1.3333333333333339</v>
      </c>
      <c r="E6">
        <f>AVERAGE(B2:B5)</f>
        <v>12</v>
      </c>
      <c r="F6">
        <f>B6-E6</f>
        <v>2</v>
      </c>
    </row>
    <row r="7" spans="1:6" x14ac:dyDescent="0.25">
      <c r="A7">
        <v>6</v>
      </c>
      <c r="B7">
        <v>16</v>
      </c>
      <c r="C7">
        <f t="shared" si="0"/>
        <v>13.333333333333334</v>
      </c>
      <c r="D7">
        <f t="shared" si="1"/>
        <v>2.6666666666666661</v>
      </c>
      <c r="E7">
        <f t="shared" ref="E7:E13" si="2">AVERAGE(B3:B6)</f>
        <v>13</v>
      </c>
      <c r="F7">
        <f t="shared" ref="F7:F12" si="3">B7-E7</f>
        <v>3</v>
      </c>
    </row>
    <row r="8" spans="1:6" x14ac:dyDescent="0.25">
      <c r="A8">
        <v>7</v>
      </c>
      <c r="B8">
        <v>18</v>
      </c>
      <c r="C8">
        <f t="shared" si="0"/>
        <v>15</v>
      </c>
      <c r="D8">
        <f t="shared" si="1"/>
        <v>3</v>
      </c>
      <c r="E8">
        <f t="shared" si="2"/>
        <v>14</v>
      </c>
      <c r="F8">
        <f t="shared" si="3"/>
        <v>4</v>
      </c>
    </row>
    <row r="9" spans="1:6" x14ac:dyDescent="0.25">
      <c r="A9">
        <v>8</v>
      </c>
      <c r="B9">
        <v>17</v>
      </c>
      <c r="C9">
        <f t="shared" si="0"/>
        <v>16</v>
      </c>
      <c r="D9">
        <f t="shared" si="1"/>
        <v>1</v>
      </c>
      <c r="E9">
        <f t="shared" si="2"/>
        <v>15.75</v>
      </c>
      <c r="F9">
        <f t="shared" si="3"/>
        <v>1.25</v>
      </c>
    </row>
    <row r="10" spans="1:6" x14ac:dyDescent="0.25">
      <c r="A10">
        <v>9</v>
      </c>
      <c r="B10">
        <v>20</v>
      </c>
      <c r="C10">
        <f t="shared" si="0"/>
        <v>17</v>
      </c>
      <c r="D10">
        <f t="shared" si="1"/>
        <v>3</v>
      </c>
      <c r="E10">
        <f t="shared" si="2"/>
        <v>16.25</v>
      </c>
      <c r="F10">
        <f t="shared" si="3"/>
        <v>3.75</v>
      </c>
    </row>
    <row r="11" spans="1:6" x14ac:dyDescent="0.25">
      <c r="A11">
        <v>10</v>
      </c>
      <c r="B11">
        <v>19</v>
      </c>
      <c r="C11">
        <f t="shared" si="0"/>
        <v>18.333333333333332</v>
      </c>
      <c r="D11">
        <f t="shared" si="1"/>
        <v>0.66666666666666785</v>
      </c>
      <c r="E11">
        <f t="shared" si="2"/>
        <v>17.75</v>
      </c>
      <c r="F11">
        <f t="shared" si="3"/>
        <v>1.25</v>
      </c>
    </row>
    <row r="12" spans="1:6" x14ac:dyDescent="0.25">
      <c r="C12">
        <f t="shared" si="0"/>
        <v>18.666666666666668</v>
      </c>
      <c r="E12">
        <f t="shared" si="2"/>
        <v>18.5</v>
      </c>
      <c r="F12">
        <f t="shared" si="3"/>
        <v>-18.5</v>
      </c>
    </row>
    <row r="13" spans="1:6" x14ac:dyDescent="0.25">
      <c r="D13">
        <f>AVERAGE(D5:D11)</f>
        <v>2.2380952380952381</v>
      </c>
      <c r="E13">
        <f t="shared" si="2"/>
        <v>18.666666666666668</v>
      </c>
      <c r="F13">
        <f>AVERAGE(F5:F11)</f>
        <v>2.5416666666666665</v>
      </c>
    </row>
    <row r="23" spans="1:11" x14ac:dyDescent="0.25">
      <c r="A23" s="1" t="s">
        <v>6</v>
      </c>
      <c r="B23" s="1"/>
      <c r="C23" s="1"/>
      <c r="D23" s="1"/>
      <c r="E23" s="1"/>
      <c r="F23" s="1"/>
      <c r="I23" t="s">
        <v>9</v>
      </c>
      <c r="J23" t="s">
        <v>10</v>
      </c>
      <c r="K23" t="s">
        <v>11</v>
      </c>
    </row>
    <row r="24" spans="1:11" x14ac:dyDescent="0.25">
      <c r="A24" t="s">
        <v>0</v>
      </c>
      <c r="B24" t="s">
        <v>7</v>
      </c>
      <c r="C24" t="s">
        <v>8</v>
      </c>
      <c r="D24" t="s">
        <v>13</v>
      </c>
      <c r="E24" t="s">
        <v>12</v>
      </c>
      <c r="F24" t="s">
        <v>14</v>
      </c>
    </row>
    <row r="25" spans="1:11" x14ac:dyDescent="0.25">
      <c r="A25">
        <v>1</v>
      </c>
      <c r="B25">
        <v>100</v>
      </c>
    </row>
    <row r="26" spans="1:11" x14ac:dyDescent="0.25">
      <c r="A26">
        <v>2</v>
      </c>
      <c r="B26">
        <v>102</v>
      </c>
    </row>
    <row r="27" spans="1:11" x14ac:dyDescent="0.25">
      <c r="A27">
        <v>3</v>
      </c>
      <c r="B27">
        <v>105</v>
      </c>
    </row>
    <row r="28" spans="1:11" x14ac:dyDescent="0.25">
      <c r="A28">
        <v>4</v>
      </c>
      <c r="B28">
        <v>109</v>
      </c>
      <c r="C28">
        <f>(0.5*B27+0.3*B26+0.2*B25)</f>
        <v>103.1</v>
      </c>
      <c r="D28">
        <f>AVERAGE(B25:B27)</f>
        <v>102.33333333333333</v>
      </c>
      <c r="E28">
        <f>B28-C28</f>
        <v>5.9000000000000057</v>
      </c>
      <c r="F28">
        <f>B28-D28</f>
        <v>6.6666666666666714</v>
      </c>
    </row>
    <row r="29" spans="1:11" x14ac:dyDescent="0.25">
      <c r="A29">
        <v>5</v>
      </c>
      <c r="B29">
        <v>115</v>
      </c>
      <c r="C29">
        <f t="shared" ref="C29:C30" si="4">(0.5*B28+0.3*B27+0.2*B26)</f>
        <v>106.4</v>
      </c>
      <c r="D29">
        <f t="shared" ref="D29:D30" si="5">AVERAGE(B26:B28)</f>
        <v>105.33333333333333</v>
      </c>
      <c r="E29">
        <f>B29-C29</f>
        <v>8.5999999999999943</v>
      </c>
      <c r="F29">
        <f>B29-D29</f>
        <v>9.6666666666666714</v>
      </c>
    </row>
    <row r="30" spans="1:11" x14ac:dyDescent="0.25">
      <c r="C30">
        <f t="shared" si="4"/>
        <v>111.19999999999999</v>
      </c>
      <c r="D30">
        <f t="shared" si="5"/>
        <v>109.66666666666667</v>
      </c>
    </row>
    <row r="41" spans="1:3" x14ac:dyDescent="0.25">
      <c r="A41" t="s">
        <v>15</v>
      </c>
    </row>
    <row r="43" spans="1:3" x14ac:dyDescent="0.25">
      <c r="A43" t="s">
        <v>16</v>
      </c>
      <c r="B43" t="s">
        <v>13</v>
      </c>
      <c r="C43" t="s">
        <v>17</v>
      </c>
    </row>
    <row r="44" spans="1:3" x14ac:dyDescent="0.25">
      <c r="A44">
        <v>20</v>
      </c>
      <c r="C44">
        <v>20</v>
      </c>
    </row>
    <row r="45" spans="1:3" x14ac:dyDescent="0.25">
      <c r="A45">
        <v>22</v>
      </c>
      <c r="C45">
        <f>0.8*A44+0.2*C44</f>
        <v>20</v>
      </c>
    </row>
    <row r="46" spans="1:3" x14ac:dyDescent="0.25">
      <c r="A46">
        <v>24</v>
      </c>
      <c r="C46">
        <f t="shared" ref="C46:C55" si="6">0.8*A45+0.2*C45</f>
        <v>21.6</v>
      </c>
    </row>
    <row r="47" spans="1:3" x14ac:dyDescent="0.25">
      <c r="A47">
        <v>28</v>
      </c>
      <c r="B47">
        <f>AVERAGE(A44:A46)</f>
        <v>22</v>
      </c>
      <c r="C47">
        <f t="shared" si="6"/>
        <v>23.520000000000003</v>
      </c>
    </row>
    <row r="48" spans="1:3" x14ac:dyDescent="0.25">
      <c r="A48">
        <v>30</v>
      </c>
      <c r="B48">
        <f t="shared" ref="B48:B54" si="7">AVERAGE(A45:A47)</f>
        <v>24.666666666666668</v>
      </c>
      <c r="C48">
        <f t="shared" si="6"/>
        <v>27.104000000000003</v>
      </c>
    </row>
    <row r="49" spans="1:5" x14ac:dyDescent="0.25">
      <c r="A49">
        <v>31</v>
      </c>
      <c r="B49">
        <f t="shared" si="7"/>
        <v>27.333333333333332</v>
      </c>
      <c r="C49">
        <f t="shared" si="6"/>
        <v>29.4208</v>
      </c>
    </row>
    <row r="50" spans="1:5" x14ac:dyDescent="0.25">
      <c r="A50">
        <v>35</v>
      </c>
      <c r="B50">
        <f t="shared" si="7"/>
        <v>29.666666666666668</v>
      </c>
      <c r="C50">
        <f t="shared" si="6"/>
        <v>30.684160000000002</v>
      </c>
    </row>
    <row r="51" spans="1:5" x14ac:dyDescent="0.25">
      <c r="A51">
        <v>36</v>
      </c>
      <c r="B51">
        <f t="shared" si="7"/>
        <v>32</v>
      </c>
      <c r="C51">
        <f t="shared" si="6"/>
        <v>34.136831999999998</v>
      </c>
    </row>
    <row r="52" spans="1:5" x14ac:dyDescent="0.25">
      <c r="A52">
        <v>38</v>
      </c>
      <c r="B52">
        <f t="shared" si="7"/>
        <v>34</v>
      </c>
      <c r="C52">
        <f t="shared" si="6"/>
        <v>35.6273664</v>
      </c>
    </row>
    <row r="53" spans="1:5" x14ac:dyDescent="0.25">
      <c r="A53">
        <v>40</v>
      </c>
      <c r="B53">
        <f t="shared" si="7"/>
        <v>36.333333333333336</v>
      </c>
      <c r="C53">
        <f t="shared" si="6"/>
        <v>37.52547328</v>
      </c>
    </row>
    <row r="54" spans="1:5" x14ac:dyDescent="0.25">
      <c r="B54">
        <f t="shared" si="7"/>
        <v>38</v>
      </c>
      <c r="C54">
        <f t="shared" si="6"/>
        <v>39.505094655999997</v>
      </c>
    </row>
    <row r="62" spans="1:5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</row>
    <row r="63" spans="1:5" x14ac:dyDescent="0.25">
      <c r="A63">
        <v>1</v>
      </c>
      <c r="B63">
        <v>650</v>
      </c>
      <c r="C63">
        <v>650</v>
      </c>
      <c r="D63">
        <v>28</v>
      </c>
    </row>
    <row r="64" spans="1:5" x14ac:dyDescent="0.25">
      <c r="A64">
        <v>2</v>
      </c>
      <c r="B64">
        <v>678</v>
      </c>
      <c r="C64">
        <f>(0.4*B64)+(0.6*C63)+D63</f>
        <v>689.2</v>
      </c>
      <c r="D64">
        <f>0.2</f>
        <v>0.2</v>
      </c>
    </row>
    <row r="65" spans="1:3" x14ac:dyDescent="0.25">
      <c r="A65">
        <v>3</v>
      </c>
      <c r="B65">
        <v>720</v>
      </c>
      <c r="C65">
        <f t="shared" ref="C65:C74" si="8">(0.4*B65)+(0.6*C64)+D64</f>
        <v>701.72</v>
      </c>
    </row>
    <row r="66" spans="1:3" x14ac:dyDescent="0.25">
      <c r="A66">
        <v>4</v>
      </c>
      <c r="B66">
        <v>785</v>
      </c>
      <c r="C66">
        <f t="shared" si="8"/>
        <v>735.03199999999993</v>
      </c>
    </row>
    <row r="67" spans="1:3" x14ac:dyDescent="0.25">
      <c r="A67">
        <v>5</v>
      </c>
      <c r="B67">
        <v>859</v>
      </c>
      <c r="C67">
        <f t="shared" si="8"/>
        <v>784.61919999999998</v>
      </c>
    </row>
    <row r="68" spans="1:3" x14ac:dyDescent="0.25">
      <c r="A68">
        <v>6</v>
      </c>
      <c r="B68">
        <v>920</v>
      </c>
      <c r="C68">
        <f t="shared" si="8"/>
        <v>838.77152000000001</v>
      </c>
    </row>
    <row r="69" spans="1:3" x14ac:dyDescent="0.25">
      <c r="A69">
        <v>7</v>
      </c>
      <c r="B69">
        <v>850</v>
      </c>
      <c r="C69">
        <f t="shared" si="8"/>
        <v>843.26291199999991</v>
      </c>
    </row>
    <row r="70" spans="1:3" x14ac:dyDescent="0.25">
      <c r="A70">
        <v>8</v>
      </c>
      <c r="B70">
        <v>758</v>
      </c>
      <c r="C70">
        <f t="shared" si="8"/>
        <v>809.1577471999999</v>
      </c>
    </row>
    <row r="71" spans="1:3" x14ac:dyDescent="0.25">
      <c r="A71">
        <v>9</v>
      </c>
      <c r="B71">
        <v>892</v>
      </c>
      <c r="C71">
        <f t="shared" si="8"/>
        <v>842.29464831999985</v>
      </c>
    </row>
    <row r="72" spans="1:3" x14ac:dyDescent="0.25">
      <c r="A72">
        <v>10</v>
      </c>
      <c r="B72">
        <v>920</v>
      </c>
      <c r="C72">
        <f t="shared" si="8"/>
        <v>873.37678899199989</v>
      </c>
    </row>
    <row r="73" spans="1:3" x14ac:dyDescent="0.25">
      <c r="A73">
        <v>11</v>
      </c>
      <c r="B73">
        <v>789</v>
      </c>
      <c r="C73">
        <f t="shared" si="8"/>
        <v>839.62607339519991</v>
      </c>
    </row>
    <row r="74" spans="1:3" x14ac:dyDescent="0.25">
      <c r="A74">
        <v>12</v>
      </c>
      <c r="B74">
        <v>844</v>
      </c>
      <c r="C74">
        <f t="shared" si="8"/>
        <v>841.37564403711997</v>
      </c>
    </row>
  </sheetData>
  <mergeCells count="1">
    <mergeCell ref="A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Ravikanth Amajala</dc:creator>
  <cp:lastModifiedBy>Ravikanth Amajala</cp:lastModifiedBy>
  <dcterms:created xsi:type="dcterms:W3CDTF">2025-08-03T04:37:38Z</dcterms:created>
  <dcterms:modified xsi:type="dcterms:W3CDTF">2025-08-03T07:32:43Z</dcterms:modified>
</cp:coreProperties>
</file>